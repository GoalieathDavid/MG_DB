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OG_Waterfall" sheetId="2" state="visible" r:id="rId4"/>
    <sheet name="Monthly_Data" sheetId="3" state="visible" r:id="rId5"/>
    <sheet name="Model" sheetId="4" state="visible" r:id="rId6"/>
    <sheet name="YTD_SOG" sheetId="5" state="visible" r:id="rId7"/>
    <sheet name="P-Mix" sheetId="6" state="visible" r:id="rId8"/>
    <sheet name="Levers_Scenarios" sheetId="7" state="visible" r:id="rId9"/>
    <sheet name="Notes_Rec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<sst xmlns="http://schemas.openxmlformats.org/spreadsheetml/2006/main" count="371" uniqueCount="265">
  <si>
    <t xml:space="preserve">Mary Grace Foods Inc.: 2025 vs 2026 Sources of Growth and the PHP 5B target</t>
  </si>
  <si>
    <t xml:space="preserve">All figures PHP millions, VAT-inclusive net sales. 2026 = actual to Oct 19 plus projection to Dec 31. Detail in the tabs; chart on SOG_Waterfall.</t>
  </si>
  <si>
    <t xml:space="preserve">Key number</t>
  </si>
  <si>
    <t xml:space="preserve">Value</t>
  </si>
  <si>
    <t xml:space="preserve">FY2025 actual</t>
  </si>
  <si>
    <t xml:space="preserve">2026 YTD actual (Jan 1-Oct 19)</t>
  </si>
  <si>
    <t xml:space="preserve">2026 YTD growth vs same days of 2025</t>
  </si>
  <si>
    <t xml:space="preserve">Needed in Oct 20-Dec 31 to reach target</t>
  </si>
  <si>
    <t xml:space="preserve">Same days last year</t>
  </si>
  <si>
    <t xml:space="preserve">Growth needed in the remainder (break-even)</t>
  </si>
  <si>
    <t xml:space="preserve">Projected growth in the remainder (base case)</t>
  </si>
  <si>
    <t xml:space="preserve">FY2026 projected total</t>
  </si>
  <si>
    <t xml:space="preserve">Cushion / (gap) vs PHP 5B</t>
  </si>
  <si>
    <t xml:space="preserve">Share of YTD net growth from new stores</t>
  </si>
  <si>
    <t xml:space="preserve">Cafe same-store sales growth, YTD</t>
  </si>
  <si>
    <t xml:space="preserve">Kiosk same-store sales growth, YTD</t>
  </si>
  <si>
    <t xml:space="preserve">WHAT THE DATA SAYS</t>
  </si>
  <si>
    <t xml:space="preserve">1. New stores, not same-store growth, drive the increase: new cafes and kiosks contribute more than 100% of YTD net growth. Closing stores take away roughly 40% of it. Same-store sales are up only a little in cafes and down in kiosks.</t>
  </si>
  <si>
    <t xml:space="preserve">2. Cafe same-store growth is price-led. Beverages, All-Day Breakfast and Signature Cakes grew on higher average prices while units fell; Perfect Plates, Ensaymadas and Loaf Cakes shrank.</t>
  </si>
  <si>
    <t xml:space="preserve">3. At the current run-rate and last year's Nov-Dec peak, 2026 lands at about PHP 5.02B: on target with only a thin cushion. The target needs roughly +1.8% over last year in the final 72 days; the base case assumes about +3.3%.</t>
  </si>
  <si>
    <t xml:space="preserve">4. December carries about half of the remaining sales. A December that falls ~3% short of the projection (about flat on Dec 2025) would miss the target. Protect December first.</t>
  </si>
  <si>
    <t xml:space="preserve">5. Extra headroom comes from many small levers (see Levers_Scenarios), not one big one: traffic, December cakes and Christmas kiosks, stabilising laggard categories, new-cafe ramp, delivery.</t>
  </si>
  <si>
    <t xml:space="preserve">Read Notes_Recon first: the Jan-Jun 2026 export hit the 1,000-row limit and was patched with estimates; re-running it will firm up the kiosk numbers.</t>
  </si>
  <si>
    <t xml:space="preserve">Sources of Growth waterfall: FY2025 baseline to FY2026 projected total (PHP millions)</t>
  </si>
  <si>
    <t xml:space="preserve">2026 Total = actual Jan 1-Oct 19 + projected Oct 20-Dec 31 (see Model). Kiosk includes the single "Others" branch. Chart y-axis starts at 4,000 so the drivers are visible; read the data labels for true sizes.</t>
  </si>
  <si>
    <t xml:space="preserve">Bar</t>
  </si>
  <si>
    <t xml:space="preserve">Type</t>
  </si>
  <si>
    <t xml:space="preserve">Value (PHP M)</t>
  </si>
  <si>
    <t xml:space="preserve">Cumulative</t>
  </si>
  <si>
    <t xml:space="preserve">Base (hidden)</t>
  </si>
  <si>
    <t xml:space="preserve">Total / baseline</t>
  </si>
  <si>
    <t xml:space="preserve">Increase</t>
  </si>
  <si>
    <t xml:space="preserve">Decrease</t>
  </si>
  <si>
    <t xml:space="preserve">Cafe Baseline</t>
  </si>
  <si>
    <t xml:space="preserve">total</t>
  </si>
  <si>
    <t xml:space="preserve">Kiosk Baseline</t>
  </si>
  <si>
    <t xml:space="preserve">float</t>
  </si>
  <si>
    <t xml:space="preserve">Cafe Same-Store</t>
  </si>
  <si>
    <t xml:space="preserve">delta</t>
  </si>
  <si>
    <t xml:space="preserve">Cafe New 2025</t>
  </si>
  <si>
    <t xml:space="preserve">Cafe New 2026</t>
  </si>
  <si>
    <t xml:space="preserve">Cafe Closing</t>
  </si>
  <si>
    <t xml:space="preserve">Kiosk Same-Store</t>
  </si>
  <si>
    <t xml:space="preserve">Kiosk New</t>
  </si>
  <si>
    <t xml:space="preserve">Kiosk Closing</t>
  </si>
  <si>
    <t xml:space="preserve">2026 Total</t>
  </si>
  <si>
    <t xml:space="preserve">PHP 5B Target</t>
  </si>
  <si>
    <t xml:space="preserve">Projected 2026 total vs target (PHP M)</t>
  </si>
  <si>
    <t xml:space="preserve">FY2025 total (Cafe + Kiosk baselines)</t>
  </si>
  <si>
    <t xml:space="preserve">Net change FY26 vs FY25</t>
  </si>
  <si>
    <t xml:space="preserve">Check: drivers sum to net change (should be 0)</t>
  </si>
  <si>
    <t xml:space="preserve">Monthly net sales by segment (PHP millions, VAT-inclusive, reconciled to receipt-level net)</t>
  </si>
  <si>
    <t xml:space="preserve">Source: your SQL extracts (4 six-month runs). Each run is scaled so its total ties to the receipt-level header_net (see Notes_Recon). Oct 2026 = Oct 1-19 only. Jan-Jun 2026 Kiosk Same-Store and Others include ESTIMATED rows lost to the 1,000-row export limit.</t>
  </si>
  <si>
    <t xml:space="preserve">Group</t>
  </si>
  <si>
    <t xml:space="preserve">Store type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</si>
  <si>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</si>
  <si>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</si>
  <si>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</si>
  <si>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</si>
  <si>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</si>
  <si>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</si>
  <si>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</si>
  <si>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</si>
  <si>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</si>
  <si>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</si>
  <si>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</si>
  <si>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</si>
  <si>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</si>
  <si>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</si>
  <si>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</si>
  <si>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</si>
  <si>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</si>
  <si>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</si>
  <si>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</si>
  <si>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</si>
  <si>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</si>
  <si>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</si>
  <si>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Cafe</t>
  </si>
  <si>
    <t xml:space="preserve">Same-Store</t>
  </si>
  <si>
    <t xml:space="preserve">New 2025</t>
  </si>
  <si>
    <t xml:space="preserve">New 2026</t>
  </si>
  <si>
    <t xml:space="preserve">Closed</t>
  </si>
  <si>
    <t xml:space="preserve">Kiosk &amp; Others</t>
  </si>
  <si>
    <t xml:space="preserve">Total</t>
  </si>
  <si>
    <t xml:space="preserve">YoY growth, total company</t>
  </si>
  <si>
    <t xml:space="preserve">Oct 2026 growth compares Oct 1-19, 2026 with 19/31 of Oct 2025 (assumes an even daily pace).</t>
  </si>
  <si>
    <t xml:space="preserve">Projection engine: 2026 landing vs the PHP 5B target (PHP millions)</t>
  </si>
  <si>
    <t xml:space="preserve">FY2026 target (PHP M)</t>
  </si>
  <si>
    <t xml:space="preserve">User-stated: target is for full-year 2026, VAT-inclusive</t>
  </si>
  <si>
    <t xml:space="preserve">Days of Oct 2026 in data (Oct 1-19)</t>
  </si>
  <si>
    <t xml:space="preserve">Edit if you refresh the data to a later date</t>
  </si>
  <si>
    <t xml:space="preserve">Days in October</t>
  </si>
  <si>
    <t xml:space="preserve">Days of Oct still to come (Oct 20-31)</t>
  </si>
  <si>
    <t xml:space="preserve">2025 YTD (Jan 1-Oct 19)</t>
  </si>
  <si>
    <t xml:space="preserve">2026 YTD actual</t>
  </si>
  <si>
    <t xml:space="preserve">2025 remainder (Oct 20-Dec 31)</t>
  </si>
  <si>
    <t xml:space="preserve">Q3'25 avg / month</t>
  </si>
  <si>
    <t xml:space="preserve">Q3'26 avg / month</t>
  </si>
  <si>
    <t xml:space="preserve">Seasonal index (remainder / Q3 month)</t>
  </si>
  <si>
    <t xml:space="preserve">2026 remainder (projected)</t>
  </si>
  <si>
    <t xml:space="preserve">FY2026 projected</t>
  </si>
  <si>
    <t xml:space="preserve">Change FY26 vs FY25</t>
  </si>
  <si>
    <t xml:space="preserve">Change YTD (like-for-like)</t>
  </si>
  <si>
    <t xml:space="preserve">YTD growth %</t>
  </si>
  <si>
    <t xml:space="preserve">Method: remainder = Q3-2026 monthly run-rate x seasonal index. The index is each channel's Same-Store (Oct 20-Dec 31, 2025) divided by its 2025 Q3 monthly average, i.e. it carries last year's Nov-Dec peak. One year of seasonality only (2024 not extracted).</t>
  </si>
  <si>
    <t xml:space="preserve">Headline numbers</t>
  </si>
  <si>
    <t xml:space="preserve">Projected cushion / (gap) vs target</t>
  </si>
  <si>
    <t xml:space="preserve">Needed in Oct 20-Dec 31 to hit target</t>
  </si>
  <si>
    <t xml:space="preserve">Same days last year (2025 remainder)</t>
  </si>
  <si>
    <t xml:space="preserve">Required YoY growth in the remainder</t>
  </si>
  <si>
    <t xml:space="preserve">Projected YoY growth in the remainder</t>
  </si>
  <si>
    <t xml:space="preserve">YTD YoY growth (like-for-like)</t>
  </si>
  <si>
    <t xml:space="preserve">FY2026 vs FY2025 growth</t>
  </si>
  <si>
    <t xml:space="preserve">Like-for-like YTD sources of growth: Jan 1-Oct 19, 2026 vs same days of 2025 (PHP millions)</t>
  </si>
  <si>
    <t xml:space="preserve">Source</t>
  </si>
  <si>
    <t xml:space="preserve">2025 YTD</t>
  </si>
  <si>
    <t xml:space="preserve">2026 YTD</t>
  </si>
  <si>
    <t xml:space="preserve">Change</t>
  </si>
  <si>
    <t xml:space="preserve">Growth %</t>
  </si>
  <si>
    <t xml:space="preserve">Share of net growth</t>
  </si>
  <si>
    <t xml:space="preserve">Kiosk Same-Store (incl. Others)</t>
  </si>
  <si>
    <t xml:space="preserve">New cafes opened 2025</t>
  </si>
  <si>
    <t xml:space="preserve">New cafes opened 2026</t>
  </si>
  <si>
    <t xml:space="preserve">New kiosks (2025 + 2026)</t>
  </si>
  <si>
    <t xml:space="preserve">Closing cafes</t>
  </si>
  <si>
    <t xml:space="preserve">Closing kiosks</t>
  </si>
  <si>
    <t xml:space="preserve">Total company</t>
  </si>
  <si>
    <t xml:space="preserve">Roll-up</t>
  </si>
  <si>
    <t xml:space="preserve">Change (PHP M)</t>
  </si>
  <si>
    <t xml:space="preserve">2025 base</t>
  </si>
  <si>
    <t xml:space="preserve">Growth on own base</t>
  </si>
  <si>
    <t xml:space="preserve">Same-store (Cafe + Kiosk)</t>
  </si>
  <si>
    <t xml:space="preserve">New stores (all cohorts)</t>
  </si>
  <si>
    <t xml:space="preserve">Closing stores</t>
  </si>
  <si>
    <t xml:space="preserve">Same-store sales growth (SSSG): Cafe</t>
  </si>
  <si>
    <t xml:space="preserve">Same-store sales growth (SSSG): Kiosk</t>
  </si>
  <si>
    <t xml:space="preserve">Same-store sales growth (SSSG): Cafe + Kiosk combined</t>
  </si>
  <si>
    <t xml:space="preserve">Note: "Closing" = branches with a date_closed in the branches table; they still trade for part of the period. Same-Store = opened before 2025 with no close date.</t>
  </si>
  <si>
    <t xml:space="preserve">Product mix analysis: YTD 2026 vs same days of 2025 (PHP millions, net sales)</t>
  </si>
  <si>
    <t xml:space="preserve">Values are YTD (Jan 1-Oct 19; Oct 2025 pro-rated 19/31). Mix shift in percentage points. Price = net sales per unit, so a price change also reflects pack/size/discount mix. Kiosk H1-2026 lines marked * are partly estimated.</t>
  </si>
  <si>
    <t xml:space="preserve">A. CAFE - SAME-STORES ONLY (cleanest read of the menu)</t>
  </si>
  <si>
    <t xml:space="preserve">Category</t>
  </si>
  <si>
    <t xml:space="preserve">Mix 2025</t>
  </si>
  <si>
    <t xml:space="preserve">Mix 2026</t>
  </si>
  <si>
    <t xml:space="preserve">Mix shift (pp)</t>
  </si>
  <si>
    <t xml:space="preserve">Contribution to channel growth (pp)</t>
  </si>
  <si>
    <t xml:space="preserve">Qty 2025</t>
  </si>
  <si>
    <t xml:space="preserve">Qty 2026</t>
  </si>
  <si>
    <t xml:space="preserve">Qty growth %</t>
  </si>
  <si>
    <t xml:space="preserve">Avg price growth %</t>
  </si>
  <si>
    <t xml:space="preserve">ALL-DAY BREAKFAST</t>
  </si>
  <si>
    <t xml:space="preserve">SIGNATURE CAKES</t>
  </si>
  <si>
    <t xml:space="preserve">FLAVORFUL PASTAS</t>
  </si>
  <si>
    <t xml:space="preserve">BEVERAGES</t>
  </si>
  <si>
    <t xml:space="preserve">CHEESE ROLLS</t>
  </si>
  <si>
    <t xml:space="preserve">ENSAYMADAS</t>
  </si>
  <si>
    <t xml:space="preserve">FRESH SALADS</t>
  </si>
  <si>
    <t xml:space="preserve">PERFECT PLATES</t>
  </si>
  <si>
    <t xml:space="preserve">MAINS</t>
  </si>
  <si>
    <t xml:space="preserve">SOUPS</t>
  </si>
  <si>
    <t xml:space="preserve">PIZZAS</t>
  </si>
  <si>
    <t xml:space="preserve">HEARTY SANDWICHES</t>
  </si>
  <si>
    <t xml:space="preserve">SAVORY STARTERS</t>
  </si>
  <si>
    <t xml:space="preserve">DESSERT BARS</t>
  </si>
  <si>
    <t xml:space="preserve">PASTRIES</t>
  </si>
  <si>
    <t xml:space="preserve">LOAF CAKES</t>
  </si>
  <si>
    <t xml:space="preserve">KIDS MENU</t>
  </si>
  <si>
    <t xml:space="preserve">SEASONAL CAKES</t>
  </si>
  <si>
    <t xml:space="preserve">FAMILY PLATTERS</t>
  </si>
  <si>
    <t xml:space="preserve">EXTRAS</t>
  </si>
  <si>
    <t xml:space="preserve">NON-FOOD</t>
  </si>
  <si>
    <t xml:space="preserve">AMBIENT</t>
  </si>
  <si>
    <t xml:space="preserve">SIGNATURES</t>
  </si>
  <si>
    <t xml:space="preserve">Other small categories (&lt;PHP 0.3M)</t>
  </si>
  <si>
    <t xml:space="preserve">B. CAFE - ALL STORES (includes new / closing stores)</t>
  </si>
  <si>
    <t xml:space="preserve">TANDEM</t>
  </si>
  <si>
    <t xml:space="preserve">C. KIOSK &amp; OTHERS - ALL STORES</t>
  </si>
  <si>
    <t xml:space="preserve">CHEESE ROLLS*</t>
  </si>
  <si>
    <t xml:space="preserve">GRABFOOD</t>
  </si>
  <si>
    <t xml:space="preserve">ENSAYMADA</t>
  </si>
  <si>
    <t xml:space="preserve">TRUFFLE*</t>
  </si>
  <si>
    <t xml:space="preserve">SANSRIVAL*</t>
  </si>
  <si>
    <t xml:space="preserve">SIGNATURE CAKES*</t>
  </si>
  <si>
    <t xml:space="preserve">BLACK VELVET</t>
  </si>
  <si>
    <t xml:space="preserve">SEA SALT CARAMEL VANILLA*</t>
  </si>
  <si>
    <t xml:space="preserve">CHOCOLATE</t>
  </si>
  <si>
    <t xml:space="preserve">CHRISTMAS</t>
  </si>
  <si>
    <t xml:space="preserve">CARROT CAKE</t>
  </si>
  <si>
    <t xml:space="preserve">DESSERT BARS*</t>
  </si>
  <si>
    <t xml:space="preserve">CHOCOLATE MOUSSE</t>
  </si>
  <si>
    <t xml:space="preserve">MANGO BENE</t>
  </si>
  <si>
    <t xml:space="preserve">FRUITCAKE</t>
  </si>
  <si>
    <t xml:space="preserve">BUTTER CHIFFON</t>
  </si>
  <si>
    <t xml:space="preserve">CALAMANSI BARS</t>
  </si>
  <si>
    <t xml:space="preserve">PASTRIES*</t>
  </si>
  <si>
    <t xml:space="preserve">CHEESE CAKE</t>
  </si>
  <si>
    <t xml:space="preserve">WEB CELEBRATION CAKES*</t>
  </si>
  <si>
    <t xml:space="preserve">ENSAYMADAS*</t>
  </si>
  <si>
    <t xml:space="preserve">BIRTHDAY CANDLE</t>
  </si>
  <si>
    <t xml:space="preserve">TIRAMISU*</t>
  </si>
  <si>
    <t xml:space="preserve">SIGNATURES*</t>
  </si>
  <si>
    <t xml:space="preserve">MAINS*</t>
  </si>
  <si>
    <t xml:space="preserve">MARY GRACE MAMON</t>
  </si>
  <si>
    <t xml:space="preserve">LEMON BARS</t>
  </si>
  <si>
    <t xml:space="preserve">BROWNIE</t>
  </si>
  <si>
    <t xml:space="preserve">FOOD FOR THE GODS</t>
  </si>
  <si>
    <t xml:space="preserve">VALENTINES CAKE</t>
  </si>
  <si>
    <t xml:space="preserve">What it takes to land the PHP 5B: sensitivities and lever sizing (PHP millions)</t>
  </si>
  <si>
    <t xml:space="preserve">1) Landing vs target at different Oct 20-Dec 31 growth rates (vs the same days of 2025)</t>
  </si>
  <si>
    <t xml:space="preserve">Remainder YoY growth</t>
  </si>
  <si>
    <t xml:space="preserve">FY2026 landing</t>
  </si>
  <si>
    <t xml:space="preserve">Vs PHP 5B target</t>
  </si>
  <si>
    <t xml:space="preserve">Hit target?</t>
  </si>
  <si>
    <t xml:space="preserve">Break-even growth in the remainder</t>
  </si>
  <si>
    <t xml:space="preserve">2) December dependence</t>
  </si>
  <si>
    <t xml:space="preserve">Dec 2025 total net sales</t>
  </si>
  <si>
    <t xml:space="preserve">Dec 2026 implied by base case</t>
  </si>
  <si>
    <t xml:space="preserve">Share of the Oct 20-Dec 31 projection that is December</t>
  </si>
  <si>
    <t xml:space="preserve">Cushion vs target as % of projected December</t>
  </si>
  <si>
    <t xml:space="preserve">Each 1% on December is worth (PHP M)</t>
  </si>
  <si>
    <t xml:space="preserve">3) Lever sizing (illustrative: base x assumed uplift; blue cells are assumptions you can change)</t>
  </si>
  <si>
    <t xml:space="preserve">Lever</t>
  </si>
  <si>
    <t xml:space="preserve">Base it applies to (PHP M)</t>
  </si>
  <si>
    <t xml:space="preserve">Assumed uplift</t>
  </si>
  <si>
    <t xml:space="preserve">Impact (PHP M)</t>
  </si>
  <si>
    <t xml:space="preserve">Evidence from the data / how to execute</t>
  </si>
  <si>
    <t xml:space="preserve">Cafe same-store traffic +1.0 pt (all categories) in Oct 20-Dec 31</t>
  </si>
  <si>
    <t xml:space="preserve">Same-store volume is shrinking in most big categories (Beverages qty -5%, Perfect Plates -7%, Ensaymadas -7%); growth is price-led. Loyalty / bundle / meal-deal offers aimed at visits, not price.</t>
  </si>
  <si>
    <t xml:space="preserve">December cakes &amp; celebration push (Signature + Loaf Cakes) +3%</t>
  </si>
  <si>
    <t xml:space="preserve">Signature Cakes jump from ~PHP 56M in Nov to ~PHP 84M in Dec 2025 (cafe same-stores). Secure cake pre-orders, production capacity and stock for 2026 peak.</t>
  </si>
  <si>
    <t xml:space="preserve">Kiosk December / Christmas programme +5%</t>
  </si>
  <si>
    <t xml:space="preserve">Kiosk Same-Store doubles in Dec 2025 (~PHP 37M Nov to ~PHP 74M Dec). Christmas, Fruitcake, Mango Bene and Cheese Rolls lead the uplift.</t>
  </si>
  <si>
    <t xml:space="preserve">Stop the decline in Perfect Plates, Ensaymadas, Loaf Cakes (back to flat)</t>
  </si>
  <si>
    <t xml:space="preserve">YTD same-store: Perfect Plates -8.1%, Ensaymadas -5.6%, Loaf Cakes -10.7%. Uplift = blended decline rate; review pricing, availability, promo and menu placement.</t>
  </si>
  <si>
    <t xml:space="preserve">New cafes opened 2026: Sep run-rate holds vs Q3 average</t>
  </si>
  <si>
    <t xml:space="preserve">Cohort sales stepped up to ~PHP 5.8M in Sep from ~PHP 3.8M in Jul. Base model uses the Q3 average, so holding Sep adds the difference. Needs store counts to refine.</t>
  </si>
  <si>
    <t xml:space="preserve">Kiosk delivery (GrabFood) stops declining</t>
  </si>
  <si>
    <t xml:space="preserve">GrabFood is the biggest kiosk drag YTD (-12.6%, about -PHP 7.5M). Check delivery fees, promos and availability on the platform.</t>
  </si>
  <si>
    <t xml:space="preserve">Total of levers (not a forecast: levers overlap and need execution)</t>
  </si>
  <si>
    <t xml:space="preserve">Base-case landing</t>
  </si>
  <si>
    <t xml:space="preserve">Landing if levers deliver in full</t>
  </si>
  <si>
    <t xml:space="preserve">Cushion vs target with levers</t>
  </si>
  <si>
    <t xml:space="preserve">Cushion as % of target</t>
  </si>
  <si>
    <t xml:space="preserve">Reconciliation and data notes</t>
  </si>
  <si>
    <t xml:space="preserve">Extract</t>
  </si>
  <si>
    <t xml:space="preserve">Receipts</t>
  </si>
  <si>
    <t xml:space="preserve">Header net (PHP M)</t>
  </si>
  <si>
    <t xml:space="preserve">Line-level net allocated (PHP M)</t>
  </si>
  <si>
    <t xml:space="preserve">Line / header</t>
  </si>
  <si>
    <t xml:space="preserve">Scale factor used</t>
  </si>
  <si>
    <t xml:space="preserve">Note</t>
  </si>
  <si>
    <t xml:space="preserve">Jan_July_2025</t>
  </si>
  <si>
    <t xml:space="preserve">Raw export ties at ~95% of header (lines exclude voids/other header items)</t>
  </si>
  <si>
    <t xml:space="preserve">July2025_Jan2026</t>
  </si>
  <si>
    <t xml:space="preserve">Jan_July_2026</t>
  </si>
  <si>
    <t xml:space="preserve">Includes ~PHP 45M of estimated rows (export hit the 1,000-row limit); raw export was only 92.9% of header</t>
  </si>
  <si>
    <t xml:space="preserve">July2026_Present</t>
  </si>
  <si>
    <t xml:space="preserve">DATA ISSUES TO CLOSE</t>
  </si>
  <si>
    <t xml:space="preserve">1. The Jan-Jun 2026 export stopped at exactly 1,000 rows. It dropped the tail of Kiosk Same-Store (Sansrival to Truffle) and all "Others" rows. I rebuilt them from the complete January 2026 tab, scaled by month. Re-run that period with the row limit removed (or in two 3-month runs) to replace the estimates. The total is unaffected because every extract is scaled to receipt-level net.</t>
  </si>
  <si>
    <t xml:space="preserve">2. Line-level net is ~95% of receipt-level net in every complete extract. Each extract is scaled to its header_net so totals match what POSHQ / the STRAT SHEET should show. Jan 2025 ties exactly to your Step 3 result (PHP 402.3M). The mix across categories assumes the 5% gap is spread evenly.</t>
  </si>
  <si>
    <t xml:space="preserve">3. The tab named "2026" is a duplicate January 2026 run; it was used only to patch the truncated rows, not added to totals.</t>
  </si>
  <si>
    <t xml:space="preserve">4. 2026 data runs to Oct 19. Oct 2025 is pro-rated 19/31 and the Oct 20-31 base is 12/31 of Oct 2025 (even daily pace assumed).</t>
  </si>
  <si>
    <t xml:space="preserve">5. "Closing" stores = branches with a date_closed recorded; they still trade for part of the period. Same-Store = date_opened before 2025-01-01 and no close date. "Others" (one branch) is folded into Kiosk.</t>
  </si>
  <si>
    <t xml:space="preserve">6. Seasonality comes from 2025 only. December 2025 was PHP 574M vs PHP 397M in November. If 2024 shows a smaller December step-up, the landing is lower than shown.</t>
  </si>
  <si>
    <t xml:space="preserve">7. Net sales here are VAT-inclusive and net of discounts (receipt net_amount), matching the stated basis of the target.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</si>
</sst>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;\(#,##0.0\);\-"/>
    <numFmt numFmtId="166" formatCode="0.0%;\(0.0%\);\-"/>
    <numFmt numFmtId="167" formatCode="#,##0;\-#,##0;;"/>
    <numFmt numFmtId="168" formatCode="#,##0"/>
    <numFmt numFmtId="169" formatCode="#,##0;\(#,##0\);\-"/>
    <numFmt numFmtId="170" formatCode="0.00"/>
    <numFmt numFmtId="171" formatCode="#,##0.0"/>
    <numFmt numFmtId="172" formatCode="0.00;\(0.00\);\-"/>
    <numFmt numFmtId="173" formatCode="0"/>
    <numFmt numFmtId="174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595959"/>
      <rgbColor rgb="FF7F93B5"/>
      <rgbColor rgb="FF1F3864"/>
      <rgbColor rgb="FF2E8B57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SOG Waterfall - FY2025 baseline to FY2026 projected (PHP M, axis starts at 4,000)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SOG_Waterfall!$A$5:$A$15</c:f>
              <c:strCache>
                <c:ptCount val="11"/>
                <c:pt idx="0">
                  <c:v>Cafe Baseline</c:v>
                </c:pt>
                <c:pt idx="1">
                  <c:v>Kiosk Baseline</c:v>
                </c:pt>
                <c:pt idx="2">
                  <c:v>Cafe Same-Store</c:v>
                </c:pt>
                <c:pt idx="3">
                  <c:v>Cafe New 2025</c:v>
                </c:pt>
                <c:pt idx="4">
                  <c:v>Cafe New 2026</c:v>
                </c:pt>
                <c:pt idx="5">
                  <c:v>Cafe Closing</c:v>
                </c:pt>
                <c:pt idx="6">
                  <c:v>Kiosk Same-Store</c:v>
                </c:pt>
                <c:pt idx="7">
                  <c:v>Kiosk New</c:v>
                </c:pt>
                <c:pt idx="8">
                  <c:v>Kiosk Closing</c:v>
                </c:pt>
                <c:pt idx="9">
                  <c:v>2026 Total</c:v>
                </c:pt>
                <c:pt idx="10">
                  <c:v>PHP 5B Target</c:v>
                </c:pt>
              </c:strCache>
            </c:strRef>
          </c:cat>
          <c:val>
            <c:numRef>
              <c:f>SOG_Waterfall!$E$5:$E$15</c:f>
              <c:numCache>
                <c:formatCode>#,##0.0;\(#,##0.0\);\-</c:formatCode>
                <c:ptCount val="11"/>
                <c:pt idx="0">
                  <c:v>0</c:v>
                </c:pt>
                <c:pt idx="1">
                  <c:v>4302.23019169386</c:v>
                </c:pt>
                <c:pt idx="2">
                  <c:v>4830.53025385</c:v>
                </c:pt>
                <c:pt idx="3">
                  <c:v>4900.49615071687</c:v>
                </c:pt>
                <c:pt idx="4">
                  <c:v>5046.88672058026</c:v>
                </c:pt>
                <c:pt idx="5">
                  <c:v>5040.78618569641</c:v>
                </c:pt>
                <c:pt idx="6">
                  <c:v>5026.84621418835</c:v>
                </c:pt>
                <c:pt idx="7">
                  <c:v>5026.84621418835</c:v>
                </c:pt>
                <c:pt idx="8">
                  <c:v>5016.85625690429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"Baseline / total"</c:f>
              <c:strCache>
                <c:ptCount val="1"/>
                <c:pt idx="0">
                  <c:v>Baseline / total</c:v>
                </c:pt>
              </c:strCache>
            </c:strRef>
          </c:tx>
          <c:spPr>
            <a:solidFill>
              <a:srgbClr val="7f93b5"/>
            </a:solidFill>
            <a:ln w="0">
              <a:noFill/>
            </a:ln>
          </c:spPr>
          <c:invertIfNegative val="0"/>
          <c:dPt>
            <c:idx val="9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c9a227"/>
              </a:solidFill>
              <a:ln w="0">
                <a:noFill/>
              </a:ln>
            </c:spPr>
          </c:dPt>
          <c:dLbls>
            <c:numFmt formatCode="#,##0;\-#,##0;;" sourceLinked="1"/>
            <c:dLbl>
              <c:idx val="9"/>
              <c:numFmt formatCode="#,##0;\-#,##0;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0"/>
              <c:numFmt formatCode="#,##0;\-#,##0;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SOG_Waterfall!$A$5:$A$15</c:f>
              <c:strCache>
                <c:ptCount val="11"/>
                <c:pt idx="0">
                  <c:v>Cafe Baseline</c:v>
                </c:pt>
                <c:pt idx="1">
                  <c:v>Kiosk Baseline</c:v>
                </c:pt>
                <c:pt idx="2">
                  <c:v>Cafe Same-Store</c:v>
                </c:pt>
                <c:pt idx="3">
                  <c:v>Cafe New 2025</c:v>
                </c:pt>
                <c:pt idx="4">
                  <c:v>Cafe New 2026</c:v>
                </c:pt>
                <c:pt idx="5">
                  <c:v>Cafe Closing</c:v>
                </c:pt>
                <c:pt idx="6">
                  <c:v>Kiosk Same-Store</c:v>
                </c:pt>
                <c:pt idx="7">
                  <c:v>Kiosk New</c:v>
                </c:pt>
                <c:pt idx="8">
                  <c:v>Kiosk Closing</c:v>
                </c:pt>
                <c:pt idx="9">
                  <c:v>2026 Total</c:v>
                </c:pt>
                <c:pt idx="10">
                  <c:v>PHP 5B Target</c:v>
                </c:pt>
              </c:strCache>
            </c:strRef>
          </c:cat>
          <c:val>
            <c:numRef>
              <c:f>SOG_Waterfall!$F$5:$F$15</c:f>
              <c:numCache>
                <c:formatCode>#,##0.0;\(#,##0.0\);\-</c:formatCode>
                <c:ptCount val="11"/>
                <c:pt idx="0">
                  <c:v>4302.23019169386</c:v>
                </c:pt>
                <c:pt idx="1">
                  <c:v>528.300062156135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5016.85625690429</c:v>
                </c:pt>
                <c:pt idx="10">
                  <c:v>5000</c:v>
                </c:pt>
              </c:numCache>
            </c:numRef>
          </c:val>
        </c:ser>
        <c:ser>
          <c:idx val="2"/>
          <c:order val="2"/>
          <c:tx>
            <c:strRef>
              <c:f>"Increase"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2e8b57"/>
            </a:solidFill>
            <a:ln w="0">
              <a:noFill/>
            </a:ln>
          </c:spPr>
          <c:invertIfNegative val="0"/>
          <c:dLbls>
            <c:numFmt formatCode="#,##0;\-#,##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SOG_Waterfall!$A$5:$A$15</c:f>
              <c:strCache>
                <c:ptCount val="11"/>
                <c:pt idx="0">
                  <c:v>Cafe Baseline</c:v>
                </c:pt>
                <c:pt idx="1">
                  <c:v>Kiosk Baseline</c:v>
                </c:pt>
                <c:pt idx="2">
                  <c:v>Cafe Same-Store</c:v>
                </c:pt>
                <c:pt idx="3">
                  <c:v>Cafe New 2025</c:v>
                </c:pt>
                <c:pt idx="4">
                  <c:v>Cafe New 2026</c:v>
                </c:pt>
                <c:pt idx="5">
                  <c:v>Cafe Closing</c:v>
                </c:pt>
                <c:pt idx="6">
                  <c:v>Kiosk Same-Store</c:v>
                </c:pt>
                <c:pt idx="7">
                  <c:v>Kiosk New</c:v>
                </c:pt>
                <c:pt idx="8">
                  <c:v>Kiosk Closing</c:v>
                </c:pt>
                <c:pt idx="9">
                  <c:v>2026 Total</c:v>
                </c:pt>
                <c:pt idx="10">
                  <c:v>PHP 5B Target</c:v>
                </c:pt>
              </c:strCache>
            </c:strRef>
          </c:cat>
          <c:val>
            <c:numRef>
              <c:f>SOG_Waterfall!$G$5:$G$15</c:f>
              <c:numCache>
                <c:formatCode>#,##0.0;\(#,##0.0\);\-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69.9658968668723</c:v>
                </c:pt>
                <c:pt idx="3">
                  <c:v>146.390569863388</c:v>
                </c:pt>
                <c:pt idx="4">
                  <c:v>41.0648345406713</c:v>
                </c:pt>
                <c:pt idx="5">
                  <c:v>0</c:v>
                </c:pt>
                <c:pt idx="6">
                  <c:v>0</c:v>
                </c:pt>
                <c:pt idx="7">
                  <c:v>11.09790648512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3"/>
          <c:order val="3"/>
          <c:tx>
            <c:strRef>
              <c:f>"Decrease"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numFmt formatCode="#,##0;\-#,##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SOG_Waterfall!$A$5:$A$15</c:f>
              <c:strCache>
                <c:ptCount val="11"/>
                <c:pt idx="0">
                  <c:v>Cafe Baseline</c:v>
                </c:pt>
                <c:pt idx="1">
                  <c:v>Kiosk Baseline</c:v>
                </c:pt>
                <c:pt idx="2">
                  <c:v>Cafe Same-Store</c:v>
                </c:pt>
                <c:pt idx="3">
                  <c:v>Cafe New 2025</c:v>
                </c:pt>
                <c:pt idx="4">
                  <c:v>Cafe New 2026</c:v>
                </c:pt>
                <c:pt idx="5">
                  <c:v>Cafe Closing</c:v>
                </c:pt>
                <c:pt idx="6">
                  <c:v>Kiosk Same-Store</c:v>
                </c:pt>
                <c:pt idx="7">
                  <c:v>Kiosk New</c:v>
                </c:pt>
                <c:pt idx="8">
                  <c:v>Kiosk Closing</c:v>
                </c:pt>
                <c:pt idx="9">
                  <c:v>2026 Total</c:v>
                </c:pt>
                <c:pt idx="10">
                  <c:v>PHP 5B Target</c:v>
                </c:pt>
              </c:strCache>
            </c:strRef>
          </c:cat>
          <c:val>
            <c:numRef>
              <c:f>SOG_Waterfall!$H$5:$H$15</c:f>
              <c:numCache>
                <c:formatCode>#,##0.0;\(#,##0.0\);\-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47.1653694245224</c:v>
                </c:pt>
                <c:pt idx="6">
                  <c:v>13.9399715080582</c:v>
                </c:pt>
                <c:pt idx="7">
                  <c:v>0</c:v>
                </c:pt>
                <c:pt idx="8">
                  <c:v>21.0878637691795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45"/>
        <c:overlap val="100"/>
        <c:axId val="70555881"/>
        <c:axId val="68588958"/>
      </c:barChart>
      <c:catAx>
        <c:axId val="705558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88958"/>
        <c:crosses val="autoZero"/>
        <c:auto val="1"/>
        <c:lblAlgn val="ctr"/>
        <c:lblOffset val="100"/>
        <c:noMultiLvlLbl val="0"/>
      </c:catAx>
      <c:valAx>
        <c:axId val="68588958"/>
        <c:scaling>
          <c:orientation val="minMax"/>
          <c:max val="5150"/>
          <c:min val="4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55881"/>
        <c:crosses val="autoZero"/>
        <c:crossBetween val="between"/>
        <c:majorUnit val="20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YTD change vs same days of 2025, by source (PHP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YTD_SOG!D3</c:f>
              <c:strCache>
                <c:ptCount val="1"/>
                <c:pt idx="0">
                  <c:v>Change</c:v>
                </c:pt>
              </c:strCache>
            </c:strRef>
          </c:tx>
          <c:spPr>
            <a:solidFill>
              <a:srgbClr val="2e8b57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8b57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e8b57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e8b57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2e8b57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2e8b57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c0392b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c0392b"/>
              </a:solidFill>
              <a:ln w="0">
                <a:noFill/>
              </a:ln>
            </c:spPr>
          </c:dPt>
          <c:dLbls>
            <c:numFmt formatCode="#,##0.0" sourceLinked="1"/>
            <c:dLbl>
              <c:idx val="0"/>
              <c:numFmt formatCode="#,##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#,##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#,##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#,##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#,##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#,##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#,##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YTD_SOG!$A$4:$A$10</c:f>
              <c:strCache>
                <c:ptCount val="7"/>
                <c:pt idx="0">
                  <c:v>Cafe Same-Store</c:v>
                </c:pt>
                <c:pt idx="1">
                  <c:v>Kiosk Same-Store (incl. Others)</c:v>
                </c:pt>
                <c:pt idx="2">
                  <c:v>New cafes opened 2025</c:v>
                </c:pt>
                <c:pt idx="3">
                  <c:v>New cafes opened 2026</c:v>
                </c:pt>
                <c:pt idx="4">
                  <c:v>New kiosks (2025 + 2026)</c:v>
                </c:pt>
                <c:pt idx="5">
                  <c:v>Closing cafes</c:v>
                </c:pt>
                <c:pt idx="6">
                  <c:v>Closing kiosks</c:v>
                </c:pt>
              </c:strCache>
            </c:strRef>
          </c:cat>
          <c:val>
            <c:numRef>
              <c:f>YTD_SOG!$D$4:$D$10</c:f>
              <c:numCache>
                <c:formatCode>#,##0.0;\(#,##0.0\);\-</c:formatCode>
                <c:ptCount val="7"/>
                <c:pt idx="0">
                  <c:v>51.1150821178094</c:v>
                </c:pt>
                <c:pt idx="1">
                  <c:v>-13.850340906971</c:v>
                </c:pt>
                <c:pt idx="2">
                  <c:v>133.619520728811</c:v>
                </c:pt>
                <c:pt idx="3">
                  <c:v>28.7493716996874</c:v>
                </c:pt>
                <c:pt idx="4">
                  <c:v>7.96781353900311</c:v>
                </c:pt>
                <c:pt idx="5">
                  <c:v>-41.6793633195175</c:v>
                </c:pt>
                <c:pt idx="6">
                  <c:v>-16.9075202578057</c:v>
                </c:pt>
              </c:numCache>
            </c:numRef>
          </c:val>
        </c:ser>
        <c:gapWidth val="150"/>
        <c:overlap val="0"/>
        <c:axId val="20396999"/>
        <c:axId val="78803565"/>
      </c:barChart>
      <c:catAx>
        <c:axId val="2039699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03565"/>
        <c:crosses val="autoZero"/>
        <c:auto val="1"/>
        <c:lblAlgn val="ctr"/>
        <c:lblOffset val="100"/>
        <c:noMultiLvlLbl val="0"/>
      </c:catAx>
      <c:valAx>
        <c:axId val="788035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969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11</xdr:col>
      <xdr:colOff>83880</xdr:colOff>
      <xdr:row>42</xdr:row>
      <xdr:rowOff>149760</xdr:rowOff>
    </xdr:to>
    <xdr:graphicFrame>
      <xdr:nvGraphicFramePr>
        <xdr:cNvPr id="0" name="Chart 1"/>
        <xdr:cNvGraphicFramePr/>
      </xdr:nvGraphicFramePr>
      <xdr:xfrm>
        <a:off x="0" y="4191120"/>
        <a:ext cx="107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18</xdr:col>
      <xdr:colOff>473400</xdr:colOff>
      <xdr:row>17</xdr:row>
      <xdr:rowOff>89640</xdr:rowOff>
    </xdr:to>
    <xdr:graphicFrame>
      <xdr:nvGraphicFramePr>
        <xdr:cNvPr id="1" name="Chart 1"/>
        <xdr:cNvGraphicFramePr/>
      </xdr:nvGraphicFramePr>
      <xdr:xfrm>
        <a:off x="9774720" y="38088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8" min="3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Model!B31</f>
        <v>4830.53025385</v>
      </c>
    </row>
    <row r="6" customFormat="false" ht="15" hidden="false" customHeight="false" outlineLevel="0" collapsed="false">
      <c r="A6" s="4" t="s">
        <v>5</v>
      </c>
      <c r="B6" s="5" t="n">
        <f aca="false">Model!B25</f>
        <v>3859.99738824</v>
      </c>
    </row>
    <row r="7" customFormat="false" ht="15" hidden="false" customHeight="false" outlineLevel="0" collapsed="false">
      <c r="A7" s="4" t="s">
        <v>6</v>
      </c>
      <c r="B7" s="6" t="n">
        <f aca="false">Model!B30</f>
        <v>0.0401550130093942</v>
      </c>
    </row>
    <row r="8" customFormat="false" ht="15" hidden="false" customHeight="false" outlineLevel="0" collapsed="false">
      <c r="A8" s="4" t="s">
        <v>7</v>
      </c>
      <c r="B8" s="5" t="n">
        <f aca="false">Model!B26</f>
        <v>1140.00261176</v>
      </c>
    </row>
    <row r="9" customFormat="false" ht="15" hidden="false" customHeight="false" outlineLevel="0" collapsed="false">
      <c r="A9" s="4" t="s">
        <v>8</v>
      </c>
      <c r="B9" s="5" t="n">
        <f aca="false">Model!B27</f>
        <v>1119.54742921102</v>
      </c>
    </row>
    <row r="10" customFormat="false" ht="15" hidden="false" customHeight="false" outlineLevel="0" collapsed="false">
      <c r="A10" s="4" t="s">
        <v>9</v>
      </c>
      <c r="B10" s="6" t="n">
        <f aca="false">Model!B28</f>
        <v>0.0182709387876485</v>
      </c>
    </row>
    <row r="11" customFormat="false" ht="15" hidden="false" customHeight="false" outlineLevel="0" collapsed="false">
      <c r="A11" s="4" t="s">
        <v>10</v>
      </c>
      <c r="B11" s="6" t="n">
        <f aca="false">Model!B29</f>
        <v>0.0333272521375616</v>
      </c>
    </row>
    <row r="12" customFormat="false" ht="15" hidden="false" customHeight="false" outlineLevel="0" collapsed="false">
      <c r="A12" s="7" t="s">
        <v>11</v>
      </c>
      <c r="B12" s="5" t="n">
        <f aca="false">Model!B23</f>
        <v>5016.85625690429</v>
      </c>
    </row>
    <row r="13" customFormat="false" ht="15" hidden="false" customHeight="false" outlineLevel="0" collapsed="false">
      <c r="A13" s="7" t="s">
        <v>12</v>
      </c>
      <c r="B13" s="5" t="n">
        <f aca="false">Model!B24</f>
        <v>16.8562569042915</v>
      </c>
    </row>
    <row r="14" customFormat="false" ht="15" hidden="false" customHeight="false" outlineLevel="0" collapsed="false">
      <c r="A14" s="4" t="s">
        <v>13</v>
      </c>
      <c r="B14" s="6" t="n">
        <f aca="false">YTD_SOG!C16</f>
        <v>1.1430876409072</v>
      </c>
    </row>
    <row r="15" customFormat="false" ht="15" hidden="false" customHeight="false" outlineLevel="0" collapsed="false">
      <c r="A15" s="4" t="s">
        <v>14</v>
      </c>
      <c r="B15" s="6" t="n">
        <f aca="false">YTD_SOG!B19</f>
        <v>0.0166624473567347</v>
      </c>
    </row>
    <row r="16" customFormat="false" ht="15" hidden="false" customHeight="false" outlineLevel="0" collapsed="false">
      <c r="A16" s="4" t="s">
        <v>15</v>
      </c>
      <c r="B16" s="6" t="n">
        <f aca="false">YTD_SOG!B20</f>
        <v>-0.0375625950417371</v>
      </c>
    </row>
    <row r="19" customFormat="false" ht="15" hidden="false" customHeight="true" outlineLevel="0" collapsed="false">
      <c r="A19" s="8" t="s">
        <v>16</v>
      </c>
      <c r="B19" s="8"/>
      <c r="C19" s="8"/>
      <c r="D19" s="8"/>
      <c r="E19" s="8"/>
      <c r="F19" s="8"/>
      <c r="G19" s="8"/>
      <c r="H19" s="8"/>
    </row>
    <row r="20" customFormat="false" ht="43.5" hidden="false" customHeight="true" outlineLevel="0" collapsed="false">
      <c r="A20" s="9" t="s">
        <v>17</v>
      </c>
      <c r="B20" s="9"/>
      <c r="C20" s="9"/>
      <c r="D20" s="9"/>
      <c r="E20" s="9"/>
      <c r="F20" s="9"/>
      <c r="G20" s="9"/>
      <c r="H20" s="9"/>
    </row>
    <row r="21" customFormat="false" ht="43.5" hidden="false" customHeight="true" outlineLevel="0" collapsed="false">
      <c r="A21" s="9" t="s">
        <v>18</v>
      </c>
      <c r="B21" s="9"/>
      <c r="C21" s="9"/>
      <c r="D21" s="9"/>
      <c r="E21" s="9"/>
      <c r="F21" s="9"/>
      <c r="G21" s="9"/>
      <c r="H21" s="9"/>
    </row>
    <row r="22" customFormat="false" ht="43.5" hidden="false" customHeight="true" outlineLevel="0" collapsed="false">
      <c r="A22" s="9" t="s">
        <v>19</v>
      </c>
      <c r="B22" s="9"/>
      <c r="C22" s="9"/>
      <c r="D22" s="9"/>
      <c r="E22" s="9"/>
      <c r="F22" s="9"/>
      <c r="G22" s="9"/>
      <c r="H22" s="9"/>
    </row>
    <row r="23" customFormat="false" ht="43.5" hidden="false" customHeight="true" outlineLevel="0" collapsed="false">
      <c r="A23" s="9" t="s">
        <v>20</v>
      </c>
      <c r="B23" s="9"/>
      <c r="C23" s="9"/>
      <c r="D23" s="9"/>
      <c r="E23" s="9"/>
      <c r="F23" s="9"/>
      <c r="G23" s="9"/>
      <c r="H23" s="9"/>
    </row>
    <row r="24" customFormat="false" ht="43.5" hidden="false" customHeight="true" outlineLevel="0" collapsed="false">
      <c r="A24" s="9" t="s">
        <v>21</v>
      </c>
      <c r="B24" s="9"/>
      <c r="C24" s="9"/>
      <c r="D24" s="9"/>
      <c r="E24" s="9"/>
      <c r="F24" s="9"/>
      <c r="G24" s="9"/>
      <c r="H24" s="9"/>
    </row>
    <row r="25" customFormat="false" ht="43.5" hidden="false" customHeight="true" outlineLevel="0" collapsed="false">
      <c r="A25" s="9" t="s">
        <v>22</v>
      </c>
      <c r="B25" s="9"/>
      <c r="C25" s="9"/>
      <c r="D25" s="9"/>
      <c r="E25" s="9"/>
      <c r="F25" s="9"/>
      <c r="G25" s="9"/>
      <c r="H25" s="9"/>
    </row>
  </sheetData>
  <mergeCells count="7">
    <mergeCell ref="A19:H19"/>
    <mergeCell ref="A20:H20"/>
    <mergeCell ref="A21:H21"/>
    <mergeCell ref="A22:H22"/>
    <mergeCell ref="A23:H23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1"/>
  </cols>
  <sheetData>
    <row r="1" customFormat="false" ht="1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</row>
    <row r="5" customFormat="false" ht="15" hidden="false" customHeight="false" outlineLevel="0" collapsed="false">
      <c r="A5" s="4" t="s">
        <v>33</v>
      </c>
      <c r="B5" s="4" t="s">
        <v>34</v>
      </c>
      <c r="C5" s="5" t="n">
        <f aca="false">SUM(Model!C11:C14)</f>
        <v>4302.23019169386</v>
      </c>
      <c r="D5" s="10" t="n">
        <f aca="false">IF(B5="total",C5,0+C5)</f>
        <v>4302.23019169386</v>
      </c>
      <c r="E5" s="10" t="n">
        <f aca="false">IF(B5="total",0,MIN(0,D5))</f>
        <v>0</v>
      </c>
      <c r="F5" s="10" t="n">
        <f aca="false">IF(OR(B5="total",B5="float"),C5,0)</f>
        <v>4302.23019169386</v>
      </c>
      <c r="G5" s="10" t="n">
        <f aca="false">IF(B5="delta",MAX(C5,0),0)</f>
        <v>0</v>
      </c>
      <c r="H5" s="10" t="n">
        <f aca="false">IF(B5="delta",MAX(-C5,0),0)</f>
        <v>0</v>
      </c>
    </row>
    <row r="6" customFormat="false" ht="15" hidden="false" customHeight="false" outlineLevel="0" collapsed="false">
      <c r="A6" s="4" t="s">
        <v>35</v>
      </c>
      <c r="B6" s="4" t="s">
        <v>36</v>
      </c>
      <c r="C6" s="5" t="n">
        <f aca="false">SUM(Model!C15:C18)</f>
        <v>528.300062156135</v>
      </c>
      <c r="D6" s="10" t="n">
        <f aca="false">IF(B6="total",C6,D5+C6)</f>
        <v>4830.53025385</v>
      </c>
      <c r="E6" s="10" t="n">
        <f aca="false">IF(B6="total",0,MIN(D5,D6))</f>
        <v>4302.23019169386</v>
      </c>
      <c r="F6" s="10" t="n">
        <f aca="false">IF(OR(B6="total",B6="float"),C6,0)</f>
        <v>528.300062156135</v>
      </c>
      <c r="G6" s="10" t="n">
        <f aca="false">IF(B6="delta",MAX(C6,0),0)</f>
        <v>0</v>
      </c>
      <c r="H6" s="10" t="n">
        <f aca="false">IF(B6="delta",MAX(-C6,0),0)</f>
        <v>0</v>
      </c>
    </row>
    <row r="7" customFormat="false" ht="15" hidden="false" customHeight="false" outlineLevel="0" collapsed="false">
      <c r="A7" s="4" t="s">
        <v>37</v>
      </c>
      <c r="B7" s="4" t="s">
        <v>38</v>
      </c>
      <c r="C7" s="5" t="n">
        <f aca="false">Model!L11</f>
        <v>69.9658968668723</v>
      </c>
      <c r="D7" s="10" t="n">
        <f aca="false">IF(B7="total",C7,D6+C7)</f>
        <v>4900.49615071687</v>
      </c>
      <c r="E7" s="10" t="n">
        <f aca="false">IF(B7="total",0,MIN(D6,D7))</f>
        <v>4830.53025385</v>
      </c>
      <c r="F7" s="10" t="n">
        <f aca="false">IF(OR(B7="total",B7="float"),C7,0)</f>
        <v>0</v>
      </c>
      <c r="G7" s="10" t="n">
        <f aca="false">IF(B7="delta",MAX(C7,0),0)</f>
        <v>69.9658968668723</v>
      </c>
      <c r="H7" s="10" t="n">
        <f aca="false">IF(B7="delta",MAX(-C7,0),0)</f>
        <v>0</v>
      </c>
    </row>
    <row r="8" customFormat="false" ht="15" hidden="false" customHeight="false" outlineLevel="0" collapsed="false">
      <c r="A8" s="4" t="s">
        <v>39</v>
      </c>
      <c r="B8" s="4" t="s">
        <v>38</v>
      </c>
      <c r="C8" s="5" t="n">
        <f aca="false">Model!L12</f>
        <v>146.390569863388</v>
      </c>
      <c r="D8" s="10" t="n">
        <f aca="false">IF(B8="total",C8,D7+C8)</f>
        <v>5046.88672058026</v>
      </c>
      <c r="E8" s="10" t="n">
        <f aca="false">IF(B8="total",0,MIN(D7,D8))</f>
        <v>4900.49615071687</v>
      </c>
      <c r="F8" s="10" t="n">
        <f aca="false">IF(OR(B8="total",B8="float"),C8,0)</f>
        <v>0</v>
      </c>
      <c r="G8" s="10" t="n">
        <f aca="false">IF(B8="delta",MAX(C8,0),0)</f>
        <v>146.390569863388</v>
      </c>
      <c r="H8" s="10" t="n">
        <f aca="false">IF(B8="delta",MAX(-C8,0),0)</f>
        <v>0</v>
      </c>
    </row>
    <row r="9" customFormat="false" ht="15" hidden="false" customHeight="false" outlineLevel="0" collapsed="false">
      <c r="A9" s="4" t="s">
        <v>40</v>
      </c>
      <c r="B9" s="4" t="s">
        <v>38</v>
      </c>
      <c r="C9" s="5" t="n">
        <f aca="false">Model!L13</f>
        <v>41.0648345406713</v>
      </c>
      <c r="D9" s="10" t="n">
        <f aca="false">IF(B9="total",C9,D8+C9)</f>
        <v>5087.95155512093</v>
      </c>
      <c r="E9" s="10" t="n">
        <f aca="false">IF(B9="total",0,MIN(D8,D9))</f>
        <v>5046.88672058026</v>
      </c>
      <c r="F9" s="10" t="n">
        <f aca="false">IF(OR(B9="total",B9="float"),C9,0)</f>
        <v>0</v>
      </c>
      <c r="G9" s="10" t="n">
        <f aca="false">IF(B9="delta",MAX(C9,0),0)</f>
        <v>41.0648345406713</v>
      </c>
      <c r="H9" s="10" t="n">
        <f aca="false">IF(B9="delta",MAX(-C9,0),0)</f>
        <v>0</v>
      </c>
    </row>
    <row r="10" customFormat="false" ht="15" hidden="false" customHeight="false" outlineLevel="0" collapsed="false">
      <c r="A10" s="4" t="s">
        <v>41</v>
      </c>
      <c r="B10" s="4" t="s">
        <v>38</v>
      </c>
      <c r="C10" s="5" t="n">
        <f aca="false">Model!L14</f>
        <v>-47.1653694245224</v>
      </c>
      <c r="D10" s="10" t="n">
        <f aca="false">IF(B10="total",C10,D9+C10)</f>
        <v>5040.78618569641</v>
      </c>
      <c r="E10" s="10" t="n">
        <f aca="false">IF(B10="total",0,MIN(D9,D10))</f>
        <v>5040.78618569641</v>
      </c>
      <c r="F10" s="10" t="n">
        <f aca="false">IF(OR(B10="total",B10="float"),C10,0)</f>
        <v>0</v>
      </c>
      <c r="G10" s="10" t="n">
        <f aca="false">IF(B10="delta",MAX(C10,0),0)</f>
        <v>0</v>
      </c>
      <c r="H10" s="10" t="n">
        <f aca="false">IF(B10="delta",MAX(-C10,0),0)</f>
        <v>47.1653694245224</v>
      </c>
    </row>
    <row r="11" customFormat="false" ht="15" hidden="false" customHeight="false" outlineLevel="0" collapsed="false">
      <c r="A11" s="4" t="s">
        <v>42</v>
      </c>
      <c r="B11" s="4" t="s">
        <v>38</v>
      </c>
      <c r="C11" s="5" t="n">
        <f aca="false">Model!L15</f>
        <v>-13.9399715080582</v>
      </c>
      <c r="D11" s="10" t="n">
        <f aca="false">IF(B11="total",C11,D10+C11)</f>
        <v>5026.84621418835</v>
      </c>
      <c r="E11" s="10" t="n">
        <f aca="false">IF(B11="total",0,MIN(D10,D11))</f>
        <v>5026.84621418835</v>
      </c>
      <c r="F11" s="10" t="n">
        <f aca="false">IF(OR(B11="total",B11="float"),C11,0)</f>
        <v>0</v>
      </c>
      <c r="G11" s="10" t="n">
        <f aca="false">IF(B11="delta",MAX(C11,0),0)</f>
        <v>0</v>
      </c>
      <c r="H11" s="10" t="n">
        <f aca="false">IF(B11="delta",MAX(-C11,0),0)</f>
        <v>13.9399715080582</v>
      </c>
    </row>
    <row r="12" customFormat="false" ht="15" hidden="false" customHeight="false" outlineLevel="0" collapsed="false">
      <c r="A12" s="4" t="s">
        <v>43</v>
      </c>
      <c r="B12" s="4" t="s">
        <v>38</v>
      </c>
      <c r="C12" s="5" t="n">
        <f aca="false">Model!L16+Model!L17</f>
        <v>11.09790648512</v>
      </c>
      <c r="D12" s="10" t="n">
        <f aca="false">IF(B12="total",C12,D11+C12)</f>
        <v>5037.94412067347</v>
      </c>
      <c r="E12" s="10" t="n">
        <f aca="false">IF(B12="total",0,MIN(D11,D12))</f>
        <v>5026.84621418835</v>
      </c>
      <c r="F12" s="10" t="n">
        <f aca="false">IF(OR(B12="total",B12="float"),C12,0)</f>
        <v>0</v>
      </c>
      <c r="G12" s="10" t="n">
        <f aca="false">IF(B12="delta",MAX(C12,0),0)</f>
        <v>11.09790648512</v>
      </c>
      <c r="H12" s="10" t="n">
        <f aca="false">IF(B12="delta",MAX(-C12,0),0)</f>
        <v>0</v>
      </c>
    </row>
    <row r="13" customFormat="false" ht="15" hidden="false" customHeight="false" outlineLevel="0" collapsed="false">
      <c r="A13" s="4" t="s">
        <v>44</v>
      </c>
      <c r="B13" s="4" t="s">
        <v>38</v>
      </c>
      <c r="C13" s="5" t="n">
        <f aca="false">Model!L18</f>
        <v>-21.0878637691795</v>
      </c>
      <c r="D13" s="10" t="n">
        <f aca="false">IF(B13="total",C13,D12+C13)</f>
        <v>5016.85625690429</v>
      </c>
      <c r="E13" s="10" t="n">
        <f aca="false">IF(B13="total",0,MIN(D12,D13))</f>
        <v>5016.85625690429</v>
      </c>
      <c r="F13" s="10" t="n">
        <f aca="false">IF(OR(B13="total",B13="float"),C13,0)</f>
        <v>0</v>
      </c>
      <c r="G13" s="10" t="n">
        <f aca="false">IF(B13="delta",MAX(C13,0),0)</f>
        <v>0</v>
      </c>
      <c r="H13" s="10" t="n">
        <f aca="false">IF(B13="delta",MAX(-C13,0),0)</f>
        <v>21.0878637691795</v>
      </c>
    </row>
    <row r="14" customFormat="false" ht="15" hidden="false" customHeight="false" outlineLevel="0" collapsed="false">
      <c r="A14" s="4" t="s">
        <v>45</v>
      </c>
      <c r="B14" s="4" t="s">
        <v>34</v>
      </c>
      <c r="C14" s="10" t="n">
        <f aca="false">D13</f>
        <v>5016.85625690429</v>
      </c>
      <c r="D14" s="10" t="n">
        <f aca="false">IF(B14="total",C14,D13+C14)</f>
        <v>5016.85625690429</v>
      </c>
      <c r="E14" s="10" t="n">
        <f aca="false">IF(B14="total",0,MIN(D13,D14))</f>
        <v>0</v>
      </c>
      <c r="F14" s="10" t="n">
        <f aca="false">IF(OR(B14="total",B14="float"),C14,0)</f>
        <v>5016.85625690429</v>
      </c>
      <c r="G14" s="10" t="n">
        <f aca="false">IF(B14="delta",MAX(C14,0),0)</f>
        <v>0</v>
      </c>
      <c r="H14" s="10" t="n">
        <f aca="false">IF(B14="delta",MAX(-C14,0),0)</f>
        <v>0</v>
      </c>
    </row>
    <row r="15" customFormat="false" ht="15" hidden="false" customHeight="false" outlineLevel="0" collapsed="false">
      <c r="A15" s="4" t="s">
        <v>46</v>
      </c>
      <c r="B15" s="4" t="s">
        <v>34</v>
      </c>
      <c r="C15" s="5" t="n">
        <f aca="false">Model!B3</f>
        <v>5000</v>
      </c>
      <c r="D15" s="10" t="n">
        <f aca="false">IF(B15="total",C15,D14+C15)</f>
        <v>5000</v>
      </c>
      <c r="E15" s="10" t="n">
        <f aca="false">IF(B15="total",0,MIN(D14,D15))</f>
        <v>0</v>
      </c>
      <c r="F15" s="10" t="n">
        <f aca="false">IF(OR(B15="total",B15="float"),C15,0)</f>
        <v>5000</v>
      </c>
      <c r="G15" s="10" t="n">
        <f aca="false">IF(B15="delta",MAX(C15,0),0)</f>
        <v>0</v>
      </c>
      <c r="H15" s="10" t="n">
        <f aca="false">IF(B15="delta",MAX(-C15,0),0)</f>
        <v>0</v>
      </c>
    </row>
    <row r="17" customFormat="false" ht="15" hidden="false" customHeight="false" outlineLevel="0" collapsed="false">
      <c r="A17" s="7" t="s">
        <v>47</v>
      </c>
      <c r="C17" s="11" t="n">
        <f aca="false">C14-C15</f>
        <v>16.8562569042915</v>
      </c>
    </row>
    <row r="18" customFormat="false" ht="15" hidden="false" customHeight="false" outlineLevel="0" collapsed="false">
      <c r="A18" s="7" t="s">
        <v>48</v>
      </c>
      <c r="C18" s="11" t="n">
        <f aca="false">C5+C6</f>
        <v>4830.53025385</v>
      </c>
    </row>
    <row r="19" customFormat="false" ht="15" hidden="false" customHeight="false" outlineLevel="0" collapsed="false">
      <c r="A19" s="7" t="s">
        <v>49</v>
      </c>
      <c r="C19" s="11" t="n">
        <f aca="false">C14-C18</f>
        <v>186.326003054292</v>
      </c>
    </row>
    <row r="20" customFormat="false" ht="15" hidden="false" customHeight="false" outlineLevel="0" collapsed="false">
      <c r="A20" s="4" t="s">
        <v>50</v>
      </c>
      <c r="C20" s="10" t="n">
        <f aca="false">SUM(C7:C13)-C19</f>
        <v>-7.38964445190504E-013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24" min="3" style="0" width="10.51"/>
  </cols>
  <sheetData>
    <row r="1" customFormat="false" ht="1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3" t="s">
        <v>63</v>
      </c>
      <c r="L4" s="3" t="s">
        <v>64</v>
      </c>
      <c r="M4" s="3" t="s">
        <v>65</v>
      </c>
      <c r="N4" s="3" t="s">
        <v>66</v>
      </c>
      <c r="O4" s="3" t="s">
        <v>67</v>
      </c>
      <c r="P4" s="3" t="s">
        <v>68</v>
      </c>
      <c r="Q4" s="3" t="s">
        <v>69</v>
      </c>
      <c r="R4" s="3" t="s">
        <v>70</v>
      </c>
      <c r="S4" s="3" t="s">
        <v>71</v>
      </c>
      <c r="T4" s="3" t="s">
        <v>72</v>
      </c>
      <c r="U4" s="3" t="s">
        <v>73</v>
      </c>
      <c r="V4" s="3" t="s">
        <v>74</v>
      </c>
      <c r="W4" s="3" t="s">
        <v>75</v>
      </c>
      <c r="X4" s="3" t="s">
        <v>76</v>
      </c>
    </row>
    <row r="5" customFormat="false" ht="15" hidden="false" customHeight="false" outlineLevel="0" collapsed="false">
      <c r="A5" s="4" t="s">
        <v>77</v>
      </c>
      <c r="B5" s="4" t="s">
        <v>78</v>
      </c>
      <c r="C5" s="12" t="n">
        <v>335.636378369548</v>
      </c>
      <c r="D5" s="12" t="n">
        <v>314.488534660528</v>
      </c>
      <c r="E5" s="12" t="n">
        <v>324.76901155768</v>
      </c>
      <c r="F5" s="12" t="n">
        <v>288.72364742672</v>
      </c>
      <c r="G5" s="12" t="n">
        <v>341.291366381447</v>
      </c>
      <c r="H5" s="12" t="n">
        <v>324.416989474908</v>
      </c>
      <c r="I5" s="12" t="n">
        <v>306.660782986774</v>
      </c>
      <c r="J5" s="12" t="n">
        <v>337.443522324791</v>
      </c>
      <c r="K5" s="12" t="n">
        <v>295.222761990047</v>
      </c>
      <c r="L5" s="12" t="n">
        <v>324.73077880259</v>
      </c>
      <c r="M5" s="12" t="n">
        <v>323.888604650007</v>
      </c>
      <c r="N5" s="12" t="n">
        <v>448.193516348397</v>
      </c>
      <c r="O5" s="12" t="n">
        <v>333.888587562976</v>
      </c>
      <c r="P5" s="12" t="n">
        <v>320.664474113215</v>
      </c>
      <c r="Q5" s="12" t="n">
        <v>325.310366089851</v>
      </c>
      <c r="R5" s="12" t="n">
        <v>292.811065836441</v>
      </c>
      <c r="S5" s="12" t="n">
        <v>359.868146440366</v>
      </c>
      <c r="T5" s="12" t="n">
        <v>324.903548945613</v>
      </c>
      <c r="U5" s="12" t="n">
        <v>322.309232196166</v>
      </c>
      <c r="V5" s="12" t="n">
        <v>321.615112407645</v>
      </c>
      <c r="W5" s="12" t="n">
        <v>315.125811407915</v>
      </c>
      <c r="X5" s="12" t="n">
        <v>202.300274136815</v>
      </c>
    </row>
    <row r="6" customFormat="false" ht="15" hidden="false" customHeight="false" outlineLevel="0" collapsed="false">
      <c r="A6" s="4" t="s">
        <v>77</v>
      </c>
      <c r="B6" s="4" t="s">
        <v>79</v>
      </c>
      <c r="C6" s="12" t="n">
        <v>0</v>
      </c>
      <c r="D6" s="12" t="n">
        <v>0</v>
      </c>
      <c r="E6" s="12" t="n">
        <v>0</v>
      </c>
      <c r="F6" s="12" t="n">
        <v>2.7325774474362</v>
      </c>
      <c r="G6" s="12" t="n">
        <v>3.59825247707539</v>
      </c>
      <c r="H6" s="12" t="n">
        <v>3.16484816763536</v>
      </c>
      <c r="I6" s="12" t="n">
        <v>2.91879571525514</v>
      </c>
      <c r="J6" s="12" t="n">
        <v>10.4138755788114</v>
      </c>
      <c r="K6" s="12" t="n">
        <v>9.61640298340234</v>
      </c>
      <c r="L6" s="12" t="n">
        <v>10.410990827128</v>
      </c>
      <c r="M6" s="12" t="n">
        <v>11.4192234962759</v>
      </c>
      <c r="N6" s="12" t="n">
        <v>21.7164682057022</v>
      </c>
      <c r="O6" s="12" t="n">
        <v>20.2404753116762</v>
      </c>
      <c r="P6" s="12" t="n">
        <v>17.8442020026474</v>
      </c>
      <c r="Q6" s="12" t="n">
        <v>17.4397319102973</v>
      </c>
      <c r="R6" s="12" t="n">
        <v>16.5260360699687</v>
      </c>
      <c r="S6" s="12" t="n">
        <v>20.4550325940739</v>
      </c>
      <c r="T6" s="12" t="n">
        <v>17.221276074948</v>
      </c>
      <c r="U6" s="12" t="n">
        <v>17.1225035722865</v>
      </c>
      <c r="V6" s="12" t="n">
        <v>18.3552705657319</v>
      </c>
      <c r="W6" s="12" t="n">
        <v>16.7697273598706</v>
      </c>
      <c r="X6" s="12" t="n">
        <v>10.470947498715</v>
      </c>
    </row>
    <row r="7" customFormat="false" ht="15" hidden="false" customHeight="false" outlineLevel="0" collapsed="false">
      <c r="A7" s="4" t="s">
        <v>77</v>
      </c>
      <c r="B7" s="4" t="s">
        <v>80</v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2.11644453326105</v>
      </c>
      <c r="Q7" s="12" t="n">
        <v>2.55535412721612</v>
      </c>
      <c r="R7" s="12" t="n">
        <v>1.99120899472635</v>
      </c>
      <c r="S7" s="12" t="n">
        <v>2.16799745752449</v>
      </c>
      <c r="T7" s="12" t="n">
        <v>3.1504039032381</v>
      </c>
      <c r="U7" s="12" t="n">
        <v>3.83890530390536</v>
      </c>
      <c r="V7" s="12" t="n">
        <v>3.29207518192928</v>
      </c>
      <c r="W7" s="12" t="n">
        <v>5.75434937137478</v>
      </c>
      <c r="X7" s="12" t="n">
        <v>3.88263282651188</v>
      </c>
    </row>
    <row r="8" customFormat="false" ht="15" hidden="false" customHeight="false" outlineLevel="0" collapsed="false">
      <c r="A8" s="4" t="s">
        <v>77</v>
      </c>
      <c r="B8" s="4" t="s">
        <v>81</v>
      </c>
      <c r="C8" s="12" t="n">
        <v>22.0284218043369</v>
      </c>
      <c r="D8" s="12" t="n">
        <v>19.9494027782359</v>
      </c>
      <c r="E8" s="12" t="n">
        <v>22.7590121101585</v>
      </c>
      <c r="F8" s="12" t="n">
        <v>22.4907165547079</v>
      </c>
      <c r="G8" s="12" t="n">
        <v>26.6655219033688</v>
      </c>
      <c r="H8" s="12" t="n">
        <v>24.6058809970148</v>
      </c>
      <c r="I8" s="12" t="n">
        <v>23.7785367401566</v>
      </c>
      <c r="J8" s="12" t="n">
        <v>24.3601950417644</v>
      </c>
      <c r="K8" s="12" t="n">
        <v>20.2284501991868</v>
      </c>
      <c r="L8" s="12" t="n">
        <v>6.87275435145469</v>
      </c>
      <c r="M8" s="12" t="n">
        <v>22.2131406094207</v>
      </c>
      <c r="N8" s="12" t="n">
        <v>24.8208287319</v>
      </c>
      <c r="O8" s="12" t="n">
        <v>22.3054768953101</v>
      </c>
      <c r="P8" s="12" t="n">
        <v>18.3389426095703</v>
      </c>
      <c r="Q8" s="12" t="n">
        <v>16.7922320399252</v>
      </c>
      <c r="R8" s="12" t="n">
        <v>16.896546362099</v>
      </c>
      <c r="S8" s="12" t="n">
        <v>19.7129819635009</v>
      </c>
      <c r="T8" s="12" t="n">
        <v>18.9934979320215</v>
      </c>
      <c r="U8" s="12" t="n">
        <v>16.8859552658786</v>
      </c>
      <c r="V8" s="12" t="n">
        <v>15.0725567343622</v>
      </c>
      <c r="W8" s="12" t="n">
        <v>14.2955038820986</v>
      </c>
      <c r="X8" s="12" t="n">
        <v>10.1054144368286</v>
      </c>
    </row>
    <row r="9" customFormat="false" ht="15" hidden="false" customHeight="false" outlineLevel="0" collapsed="false">
      <c r="A9" s="4" t="s">
        <v>82</v>
      </c>
      <c r="B9" s="4" t="s">
        <v>78</v>
      </c>
      <c r="C9" s="12" t="n">
        <v>41.7712855944272</v>
      </c>
      <c r="D9" s="12" t="n">
        <v>40.164388325104</v>
      </c>
      <c r="E9" s="12" t="n">
        <v>38.8427172142802</v>
      </c>
      <c r="F9" s="12" t="n">
        <v>32.9793247512377</v>
      </c>
      <c r="G9" s="12" t="n">
        <v>43.9263667296659</v>
      </c>
      <c r="H9" s="12" t="n">
        <v>38.150931023768</v>
      </c>
      <c r="I9" s="12" t="n">
        <v>36.2902183243718</v>
      </c>
      <c r="J9" s="12" t="n">
        <v>37.6078867535246</v>
      </c>
      <c r="K9" s="12" t="n">
        <v>34.773232872533</v>
      </c>
      <c r="L9" s="12" t="n">
        <v>39.5178099096016</v>
      </c>
      <c r="M9" s="12" t="n">
        <v>37.8382858320644</v>
      </c>
      <c r="N9" s="12" t="n">
        <v>74.9650648179045</v>
      </c>
      <c r="O9" s="12" t="n">
        <v>39.4475385346606</v>
      </c>
      <c r="P9" s="12" t="n">
        <v>37.4917630802451</v>
      </c>
      <c r="Q9" s="12" t="n">
        <v>36.1348393131917</v>
      </c>
      <c r="R9" s="12" t="n">
        <v>31.2532137266446</v>
      </c>
      <c r="S9" s="12" t="n">
        <v>41.9159512413347</v>
      </c>
      <c r="T9" s="12" t="n">
        <v>37.0222243925497</v>
      </c>
      <c r="U9" s="12" t="n">
        <v>35.9389745373645</v>
      </c>
      <c r="V9" s="12" t="n">
        <v>36.0136145401964</v>
      </c>
      <c r="W9" s="12" t="n">
        <v>36.642712696449</v>
      </c>
      <c r="X9" s="12" t="n">
        <v>23.0157717897061</v>
      </c>
    </row>
    <row r="10" customFormat="false" ht="15" hidden="false" customHeight="false" outlineLevel="0" collapsed="false">
      <c r="A10" s="4" t="s">
        <v>82</v>
      </c>
      <c r="B10" s="4" t="s">
        <v>79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0.0114535504302472</v>
      </c>
      <c r="N10" s="12" t="n">
        <v>0.591813140963376</v>
      </c>
      <c r="O10" s="12" t="n">
        <v>0.325520567244391</v>
      </c>
      <c r="P10" s="12" t="n">
        <v>0.299492654754612</v>
      </c>
      <c r="Q10" s="12" t="n">
        <v>0.253834722270086</v>
      </c>
      <c r="R10" s="12" t="n">
        <v>0.246259406819767</v>
      </c>
      <c r="S10" s="12" t="n">
        <v>0.31598448084568</v>
      </c>
      <c r="T10" s="12" t="n">
        <v>0.312733320193361</v>
      </c>
      <c r="U10" s="12" t="n">
        <v>0.318060398437266</v>
      </c>
      <c r="V10" s="12" t="n">
        <v>0.276579212146794</v>
      </c>
      <c r="W10" s="12" t="n">
        <v>0.334442201973407</v>
      </c>
      <c r="X10" s="12" t="n">
        <v>0.212261739219205</v>
      </c>
    </row>
    <row r="11" customFormat="false" ht="15" hidden="false" customHeight="false" outlineLevel="0" collapsed="false">
      <c r="A11" s="4" t="s">
        <v>82</v>
      </c>
      <c r="B11" s="4" t="s">
        <v>80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0.222431517538471</v>
      </c>
      <c r="R11" s="12" t="n">
        <v>0.471112279653131</v>
      </c>
      <c r="S11" s="12" t="n">
        <v>0.684646430953042</v>
      </c>
      <c r="T11" s="12" t="n">
        <v>0.701622397237312</v>
      </c>
      <c r="U11" s="12" t="n">
        <v>0.646768372302813</v>
      </c>
      <c r="V11" s="12" t="n">
        <v>0.721527568853067</v>
      </c>
      <c r="W11" s="12" t="n">
        <v>0.869736921320465</v>
      </c>
      <c r="X11" s="12" t="n">
        <v>0.754799347240238</v>
      </c>
    </row>
    <row r="12" customFormat="false" ht="15" hidden="false" customHeight="false" outlineLevel="0" collapsed="false">
      <c r="A12" s="4" t="s">
        <v>82</v>
      </c>
      <c r="B12" s="4" t="s">
        <v>81</v>
      </c>
      <c r="C12" s="12" t="n">
        <v>2.85997713388904</v>
      </c>
      <c r="D12" s="12" t="n">
        <v>2.81620029218072</v>
      </c>
      <c r="E12" s="12" t="n">
        <v>2.73456495217639</v>
      </c>
      <c r="F12" s="12" t="n">
        <v>2.50497821896582</v>
      </c>
      <c r="G12" s="12" t="n">
        <v>2.98993723150337</v>
      </c>
      <c r="H12" s="12" t="n">
        <v>2.7544732120012</v>
      </c>
      <c r="I12" s="12" t="n">
        <v>2.52991986541712</v>
      </c>
      <c r="J12" s="12" t="n">
        <v>2.65595807521355</v>
      </c>
      <c r="K12" s="12" t="n">
        <v>1.68528711184037</v>
      </c>
      <c r="L12" s="12" t="n">
        <v>1.85819399673382</v>
      </c>
      <c r="M12" s="12" t="n">
        <v>1.80319611502442</v>
      </c>
      <c r="N12" s="12" t="n">
        <v>3.67659711131258</v>
      </c>
      <c r="O12" s="12" t="n">
        <v>1.88105170485826</v>
      </c>
      <c r="P12" s="12" t="n">
        <v>1.13218875362468</v>
      </c>
      <c r="Q12" s="12" t="n">
        <v>0.760583325281869</v>
      </c>
      <c r="R12" s="12" t="n">
        <v>0.686641934110956</v>
      </c>
      <c r="S12" s="12" t="n">
        <v>0.664570380156915</v>
      </c>
      <c r="T12" s="12" t="n">
        <v>0.563202205363938</v>
      </c>
      <c r="U12" s="12" t="n">
        <v>0.5820887770478</v>
      </c>
      <c r="V12" s="12" t="n">
        <v>0.577547173560848</v>
      </c>
      <c r="W12" s="12" t="n">
        <v>0.552927350246785</v>
      </c>
      <c r="X12" s="12" t="n">
        <v>0.361867325902216</v>
      </c>
    </row>
    <row r="13" customFormat="false" ht="15" hidden="false" customHeight="false" outlineLevel="0" collapsed="false">
      <c r="A13" s="7" t="s">
        <v>83</v>
      </c>
      <c r="C13" s="13" t="n">
        <f aca="false">SUM(C5:C12)</f>
        <v>402.296062902201</v>
      </c>
      <c r="D13" s="13" t="n">
        <f aca="false">SUM(D5:D12)</f>
        <v>377.418526056048</v>
      </c>
      <c r="E13" s="13" t="n">
        <f aca="false">SUM(E5:E12)</f>
        <v>389.105305834295</v>
      </c>
      <c r="F13" s="13" t="n">
        <f aca="false">SUM(F5:F12)</f>
        <v>349.431244399068</v>
      </c>
      <c r="G13" s="13" t="n">
        <f aca="false">SUM(G5:G12)</f>
        <v>418.47144472306</v>
      </c>
      <c r="H13" s="13" t="n">
        <f aca="false">SUM(H5:H12)</f>
        <v>393.093122875328</v>
      </c>
      <c r="I13" s="13" t="n">
        <f aca="false">SUM(I5:I12)</f>
        <v>372.178253631975</v>
      </c>
      <c r="J13" s="13" t="n">
        <f aca="false">SUM(J5:J12)</f>
        <v>412.481437774105</v>
      </c>
      <c r="K13" s="13" t="n">
        <f aca="false">SUM(K5:K12)</f>
        <v>361.52613515701</v>
      </c>
      <c r="L13" s="13" t="n">
        <f aca="false">SUM(L5:L12)</f>
        <v>383.390527887508</v>
      </c>
      <c r="M13" s="13" t="n">
        <f aca="false">SUM(M5:M12)</f>
        <v>397.173904253222</v>
      </c>
      <c r="N13" s="13" t="n">
        <f aca="false">SUM(N5:N12)</f>
        <v>573.964288356179</v>
      </c>
      <c r="O13" s="13" t="n">
        <f aca="false">SUM(O5:O12)</f>
        <v>418.088650576725</v>
      </c>
      <c r="P13" s="13" t="n">
        <f aca="false">SUM(P5:P12)</f>
        <v>397.887507747319</v>
      </c>
      <c r="Q13" s="13" t="n">
        <f aca="false">SUM(Q5:Q12)</f>
        <v>399.469373045572</v>
      </c>
      <c r="R13" s="13" t="n">
        <f aca="false">SUM(R5:R12)</f>
        <v>360.882084610464</v>
      </c>
      <c r="S13" s="13" t="n">
        <f aca="false">SUM(S5:S12)</f>
        <v>445.785310988756</v>
      </c>
      <c r="T13" s="13" t="n">
        <f aca="false">SUM(T5:T12)</f>
        <v>402.868509171165</v>
      </c>
      <c r="U13" s="13" t="n">
        <f aca="false">SUM(U5:U12)</f>
        <v>397.642488423388</v>
      </c>
      <c r="V13" s="13" t="n">
        <f aca="false">SUM(V5:V12)</f>
        <v>395.924283384425</v>
      </c>
      <c r="W13" s="13" t="n">
        <f aca="false">SUM(W5:W12)</f>
        <v>390.345211191249</v>
      </c>
      <c r="X13" s="13" t="n">
        <f aca="false">SUM(X5:X12)</f>
        <v>251.103969100938</v>
      </c>
    </row>
    <row r="15" customFormat="false" ht="15" hidden="false" customHeight="false" outlineLevel="0" collapsed="false">
      <c r="A15" s="7" t="s">
        <v>84</v>
      </c>
      <c r="O15" s="14" t="n">
        <f aca="false">O13/C13-1</f>
        <v>0.0392561328107333</v>
      </c>
      <c r="P15" s="14" t="n">
        <f aca="false">P13/D13-1</f>
        <v>0.0542341731476914</v>
      </c>
      <c r="Q15" s="14" t="n">
        <f aca="false">Q13/E13-1</f>
        <v>0.0266356357928736</v>
      </c>
      <c r="R15" s="14" t="n">
        <f aca="false">R13/F13-1</f>
        <v>0.0327699379919173</v>
      </c>
      <c r="S15" s="14" t="n">
        <f aca="false">S13/G13-1</f>
        <v>0.0652705617315692</v>
      </c>
      <c r="T15" s="14" t="n">
        <f aca="false">T13/H13-1</f>
        <v>0.024867863941078</v>
      </c>
      <c r="U15" s="14" t="n">
        <f aca="false">U13/I13-1</f>
        <v>0.0684194590707972</v>
      </c>
      <c r="V15" s="14" t="n">
        <f aca="false">V13/J13-1</f>
        <v>-0.0401403623858287</v>
      </c>
      <c r="W15" s="14" t="n">
        <f aca="false">W13/K13-1</f>
        <v>0.0797150557918107</v>
      </c>
      <c r="X15" s="14" t="n">
        <f aca="false">X13/(L13*Model!$B$4/Model!$B$5)-1</f>
        <v>0.068612601994045</v>
      </c>
    </row>
    <row r="16" customFormat="false" ht="15" hidden="false" customHeight="false" outlineLevel="0" collapsed="false">
      <c r="A16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8" min="7" style="0" width="13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2" min="11" style="0" width="14"/>
    <col collapsed="false" customWidth="true" hidden="false" outlineLevel="0" max="13" min="13" style="0" width="15"/>
    <col collapsed="false" customWidth="true" hidden="false" outlineLevel="0" max="14" min="14" style="0" width="11"/>
  </cols>
  <sheetData>
    <row r="1" customFormat="false" ht="15" hidden="false" customHeight="false" outlineLevel="0" collapsed="false">
      <c r="A1" s="1" t="s">
        <v>86</v>
      </c>
    </row>
    <row r="3" customFormat="false" ht="15" hidden="false" customHeight="false" outlineLevel="0" collapsed="false">
      <c r="A3" s="7" t="s">
        <v>87</v>
      </c>
      <c r="B3" s="15" t="n">
        <v>5000</v>
      </c>
      <c r="C3" s="2" t="s">
        <v>88</v>
      </c>
    </row>
    <row r="4" customFormat="false" ht="15" hidden="false" customHeight="false" outlineLevel="0" collapsed="false">
      <c r="A4" s="7" t="s">
        <v>89</v>
      </c>
      <c r="B4" s="15" t="n">
        <v>19</v>
      </c>
      <c r="C4" s="2" t="s">
        <v>90</v>
      </c>
    </row>
    <row r="5" customFormat="false" ht="15" hidden="false" customHeight="false" outlineLevel="0" collapsed="false">
      <c r="A5" s="7" t="s">
        <v>91</v>
      </c>
      <c r="B5" s="16" t="n">
        <v>31</v>
      </c>
    </row>
    <row r="6" customFormat="false" ht="15" hidden="false" customHeight="false" outlineLevel="0" collapsed="false">
      <c r="A6" s="7" t="s">
        <v>92</v>
      </c>
      <c r="B6" s="17" t="n">
        <f aca="false">B5-B4</f>
        <v>12</v>
      </c>
    </row>
    <row r="9" customFormat="false" ht="54" hidden="false" customHeight="true" outlineLevel="0" collapsed="false">
      <c r="A9" s="3" t="s">
        <v>53</v>
      </c>
      <c r="B9" s="3" t="s">
        <v>54</v>
      </c>
      <c r="C9" s="3" t="s">
        <v>4</v>
      </c>
      <c r="D9" s="3" t="s">
        <v>93</v>
      </c>
      <c r="E9" s="3" t="s">
        <v>94</v>
      </c>
      <c r="F9" s="3" t="s">
        <v>95</v>
      </c>
      <c r="G9" s="3" t="s">
        <v>96</v>
      </c>
      <c r="H9" s="3" t="s">
        <v>97</v>
      </c>
      <c r="I9" s="3" t="s">
        <v>98</v>
      </c>
      <c r="J9" s="3" t="s">
        <v>99</v>
      </c>
      <c r="K9" s="3" t="s">
        <v>100</v>
      </c>
      <c r="L9" s="3" t="s">
        <v>101</v>
      </c>
      <c r="M9" s="3" t="s">
        <v>102</v>
      </c>
      <c r="N9" s="3" t="s">
        <v>103</v>
      </c>
    </row>
    <row r="11" customFormat="false" ht="15" hidden="false" customHeight="false" outlineLevel="0" collapsed="false">
      <c r="A11" s="4" t="s">
        <v>77</v>
      </c>
      <c r="B11" s="4" t="s">
        <v>78</v>
      </c>
      <c r="C11" s="5" t="n">
        <f aca="false">SUM(Monthly_Data!C5:N5)</f>
        <v>3965.46589497344</v>
      </c>
      <c r="D11" s="5" t="n">
        <f aca="false">SUM(Monthly_Data!C5:K5)+Monthly_Data!L5*$B$4/$B$5</f>
        <v>3067.68153701919</v>
      </c>
      <c r="E11" s="5" t="n">
        <f aca="false">SUM(Monthly_Data!O5:W5)+Monthly_Data!X5</f>
        <v>3118.796619137</v>
      </c>
      <c r="F11" s="5" t="n">
        <f aca="false">Monthly_Data!L5*$B$6/$B$5+Monthly_Data!M5+Monthly_Data!N5</f>
        <v>897.784357954244</v>
      </c>
      <c r="G11" s="5" t="n">
        <f aca="false">AVERAGE(Monthly_Data!I5:K5)</f>
        <v>313.109022433871</v>
      </c>
      <c r="H11" s="5" t="n">
        <f aca="false">AVERAGE(Monthly_Data!U5:W5)</f>
        <v>319.683385337242</v>
      </c>
      <c r="I11" s="18" t="n">
        <f aca="false">$F$11/$G$11</f>
        <v>2.86732190268921</v>
      </c>
      <c r="J11" s="10" t="n">
        <f aca="false">H11*I11</f>
        <v>916.635172703307</v>
      </c>
      <c r="K11" s="10" t="n">
        <f aca="false">E11+J11</f>
        <v>4035.43179184031</v>
      </c>
      <c r="L11" s="10" t="n">
        <f aca="false">K11-C11</f>
        <v>69.9658968668723</v>
      </c>
      <c r="M11" s="10" t="n">
        <f aca="false">E11-D11</f>
        <v>51.1150821178094</v>
      </c>
      <c r="N11" s="14" t="n">
        <f aca="false">IF(D11=0,"n/a",E11/D11-1)</f>
        <v>0.0166624473567347</v>
      </c>
    </row>
    <row r="12" customFormat="false" ht="15" hidden="false" customHeight="false" outlineLevel="0" collapsed="false">
      <c r="A12" s="4" t="s">
        <v>77</v>
      </c>
      <c r="B12" s="4" t="s">
        <v>79</v>
      </c>
      <c r="C12" s="5" t="n">
        <f aca="false">SUM(Monthly_Data!C6:N6)</f>
        <v>75.9914348987219</v>
      </c>
      <c r="D12" s="5" t="n">
        <f aca="false">SUM(Monthly_Data!C6:K6)+Monthly_Data!L6*$B$4/$B$5</f>
        <v>38.8256822314039</v>
      </c>
      <c r="E12" s="5" t="n">
        <f aca="false">SUM(Monthly_Data!O6:W6)+Monthly_Data!X6</f>
        <v>172.445202960215</v>
      </c>
      <c r="F12" s="5" t="n">
        <f aca="false">Monthly_Data!L6*$B$6/$B$5+Monthly_Data!M6+Monthly_Data!N6</f>
        <v>37.165752667318</v>
      </c>
      <c r="G12" s="5" t="n">
        <f aca="false">AVERAGE(Monthly_Data!I6:K6)</f>
        <v>7.64969142582296</v>
      </c>
      <c r="H12" s="5" t="n">
        <f aca="false">AVERAGE(Monthly_Data!U6:W6)</f>
        <v>17.4158338326297</v>
      </c>
      <c r="I12" s="18" t="n">
        <f aca="false">$F$11/$G$11</f>
        <v>2.86732190268921</v>
      </c>
      <c r="J12" s="10" t="n">
        <f aca="false">H12*I12</f>
        <v>49.9368018018947</v>
      </c>
      <c r="K12" s="10" t="n">
        <f aca="false">E12+J12</f>
        <v>222.38200476211</v>
      </c>
      <c r="L12" s="10" t="n">
        <f aca="false">K12-C12</f>
        <v>146.390569863388</v>
      </c>
      <c r="M12" s="10" t="n">
        <f aca="false">E12-D12</f>
        <v>133.619520728811</v>
      </c>
      <c r="N12" s="14" t="n">
        <f aca="false">IF(D12=0,"n/a",E12/D12-1)</f>
        <v>3.44152409048292</v>
      </c>
    </row>
    <row r="13" customFormat="false" ht="15" hidden="false" customHeight="false" outlineLevel="0" collapsed="false">
      <c r="A13" s="4" t="s">
        <v>77</v>
      </c>
      <c r="B13" s="4" t="s">
        <v>80</v>
      </c>
      <c r="C13" s="5" t="n">
        <f aca="false">SUM(Monthly_Data!C7:N7)</f>
        <v>0</v>
      </c>
      <c r="D13" s="5" t="n">
        <f aca="false">SUM(Monthly_Data!C7:K7)+Monthly_Data!L7*$B$4/$B$5</f>
        <v>0</v>
      </c>
      <c r="E13" s="5" t="n">
        <f aca="false">SUM(Monthly_Data!O7:W7)+Monthly_Data!X7</f>
        <v>28.7493716996874</v>
      </c>
      <c r="F13" s="5" t="n">
        <f aca="false">Monthly_Data!L7*$B$6/$B$5+Monthly_Data!M7+Monthly_Data!N7</f>
        <v>0</v>
      </c>
      <c r="G13" s="5" t="n">
        <f aca="false">AVERAGE(Monthly_Data!I7:K7)</f>
        <v>0</v>
      </c>
      <c r="H13" s="5" t="n">
        <f aca="false">AVERAGE(Monthly_Data!U7:W7)</f>
        <v>4.29510995240314</v>
      </c>
      <c r="I13" s="18" t="n">
        <f aca="false">$F$11/$G$11</f>
        <v>2.86732190268921</v>
      </c>
      <c r="J13" s="10" t="n">
        <f aca="false">H13*I13</f>
        <v>12.3154628409839</v>
      </c>
      <c r="K13" s="10" t="n">
        <f aca="false">E13+J13</f>
        <v>41.0648345406713</v>
      </c>
      <c r="L13" s="10" t="n">
        <f aca="false">K13-C13</f>
        <v>41.0648345406713</v>
      </c>
      <c r="M13" s="10" t="n">
        <f aca="false">E13-D13</f>
        <v>28.7493716996874</v>
      </c>
      <c r="N13" s="14" t="str">
        <f aca="false">IF(D13=0,"n/a",E13/D13-1)</f>
        <v>n/a</v>
      </c>
    </row>
    <row r="14" customFormat="false" ht="15" hidden="false" customHeight="false" outlineLevel="0" collapsed="false">
      <c r="A14" s="4" t="s">
        <v>77</v>
      </c>
      <c r="B14" s="4" t="s">
        <v>81</v>
      </c>
      <c r="C14" s="5" t="n">
        <f aca="false">SUM(Monthly_Data!C8:N8)</f>
        <v>260.772861821706</v>
      </c>
      <c r="D14" s="5" t="n">
        <f aca="false">SUM(Monthly_Data!C8:K8)+Monthly_Data!L8*$B$4/$B$5</f>
        <v>211.078471441112</v>
      </c>
      <c r="E14" s="5" t="n">
        <f aca="false">SUM(Monthly_Data!O8:W8)+Monthly_Data!X8</f>
        <v>169.399108121595</v>
      </c>
      <c r="F14" s="5" t="n">
        <f aca="false">Monthly_Data!L8*$B$6/$B$5+Monthly_Data!M8+Monthly_Data!N8</f>
        <v>49.6943903805935</v>
      </c>
      <c r="G14" s="5" t="n">
        <f aca="false">AVERAGE(Monthly_Data!I8:K8)</f>
        <v>22.7890606603693</v>
      </c>
      <c r="H14" s="5" t="n">
        <f aca="false">AVERAGE(Monthly_Data!U8:W8)</f>
        <v>15.4180052941131</v>
      </c>
      <c r="I14" s="18" t="n">
        <f aca="false">$F$11/$G$11</f>
        <v>2.86732190268921</v>
      </c>
      <c r="J14" s="10" t="n">
        <f aca="false">H14*I14</f>
        <v>44.2083842755887</v>
      </c>
      <c r="K14" s="10" t="n">
        <f aca="false">E14+J14</f>
        <v>213.607492397184</v>
      </c>
      <c r="L14" s="10" t="n">
        <f aca="false">K14-C14</f>
        <v>-47.1653694245224</v>
      </c>
      <c r="M14" s="10" t="n">
        <f aca="false">E14-D14</f>
        <v>-41.6793633195175</v>
      </c>
      <c r="N14" s="14" t="n">
        <f aca="false">IF(D14=0,"n/a",E14/D14-1)</f>
        <v>-0.197459092037936</v>
      </c>
    </row>
    <row r="15" customFormat="false" ht="15" hidden="false" customHeight="false" outlineLevel="0" collapsed="false">
      <c r="A15" s="4" t="s">
        <v>82</v>
      </c>
      <c r="B15" s="4" t="s">
        <v>78</v>
      </c>
      <c r="C15" s="5" t="n">
        <f aca="false">SUM(Monthly_Data!C9:N9)</f>
        <v>496.827512148483</v>
      </c>
      <c r="D15" s="5" t="n">
        <f aca="false">SUM(Monthly_Data!C9:K9)+Monthly_Data!L9*$B$4/$B$5</f>
        <v>368.726944759313</v>
      </c>
      <c r="E15" s="5" t="n">
        <f aca="false">SUM(Monthly_Data!O9:W9)+Monthly_Data!X9</f>
        <v>354.876603852342</v>
      </c>
      <c r="F15" s="5" t="n">
        <f aca="false">Monthly_Data!L9*$B$6/$B$5+Monthly_Data!M9+Monthly_Data!N9</f>
        <v>128.10056738917</v>
      </c>
      <c r="G15" s="5" t="n">
        <f aca="false">AVERAGE(Monthly_Data!I9:K9)</f>
        <v>36.2237793168098</v>
      </c>
      <c r="H15" s="5" t="n">
        <f aca="false">AVERAGE(Monthly_Data!U9:W9)</f>
        <v>36.19843392467</v>
      </c>
      <c r="I15" s="18" t="n">
        <f aca="false">$F$15/$G$15</f>
        <v>3.53636671283838</v>
      </c>
      <c r="J15" s="10" t="n">
        <f aca="false">H15*I15</f>
        <v>128.010936788082</v>
      </c>
      <c r="K15" s="10" t="n">
        <f aca="false">E15+J15</f>
        <v>482.887540640425</v>
      </c>
      <c r="L15" s="10" t="n">
        <f aca="false">K15-C15</f>
        <v>-13.9399715080582</v>
      </c>
      <c r="M15" s="10" t="n">
        <f aca="false">E15-D15</f>
        <v>-13.850340906971</v>
      </c>
      <c r="N15" s="14" t="n">
        <f aca="false">IF(D15=0,"n/a",E15/D15-1)</f>
        <v>-0.0375625950417371</v>
      </c>
    </row>
    <row r="16" customFormat="false" ht="15" hidden="false" customHeight="false" outlineLevel="0" collapsed="false">
      <c r="A16" s="4" t="s">
        <v>82</v>
      </c>
      <c r="B16" s="4" t="s">
        <v>79</v>
      </c>
      <c r="C16" s="5" t="n">
        <f aca="false">SUM(Monthly_Data!C10:N10)</f>
        <v>0.603266691393623</v>
      </c>
      <c r="D16" s="5" t="n">
        <f aca="false">SUM(Monthly_Data!C10:K10)+Monthly_Data!L10*$B$4/$B$5</f>
        <v>0</v>
      </c>
      <c r="E16" s="5" t="n">
        <f aca="false">SUM(Monthly_Data!O10:W10)+Monthly_Data!X10</f>
        <v>2.89516870390457</v>
      </c>
      <c r="F16" s="5" t="n">
        <f aca="false">Monthly_Data!L10*$B$6/$B$5+Monthly_Data!M10+Monthly_Data!N10</f>
        <v>0.603266691393623</v>
      </c>
      <c r="G16" s="5" t="n">
        <f aca="false">AVERAGE(Monthly_Data!I10:K10)</f>
        <v>0</v>
      </c>
      <c r="H16" s="5" t="n">
        <f aca="false">AVERAGE(Monthly_Data!U10:W10)</f>
        <v>0.309693937519156</v>
      </c>
      <c r="I16" s="18" t="n">
        <f aca="false">$F$15/$G$15</f>
        <v>3.53636671283838</v>
      </c>
      <c r="J16" s="10" t="n">
        <f aca="false">H16*I16</f>
        <v>1.09519133181059</v>
      </c>
      <c r="K16" s="10" t="n">
        <f aca="false">E16+J16</f>
        <v>3.99036003571516</v>
      </c>
      <c r="L16" s="10" t="n">
        <f aca="false">K16-C16</f>
        <v>3.38709334432154</v>
      </c>
      <c r="M16" s="10" t="n">
        <f aca="false">E16-D16</f>
        <v>2.89516870390457</v>
      </c>
      <c r="N16" s="14" t="str">
        <f aca="false">IF(D16=0,"n/a",E16/D16-1)</f>
        <v>n/a</v>
      </c>
    </row>
    <row r="17" customFormat="false" ht="15" hidden="false" customHeight="false" outlineLevel="0" collapsed="false">
      <c r="A17" s="4" t="s">
        <v>82</v>
      </c>
      <c r="B17" s="4" t="s">
        <v>80</v>
      </c>
      <c r="C17" s="5" t="n">
        <f aca="false">SUM(Monthly_Data!C11:N11)</f>
        <v>0</v>
      </c>
      <c r="D17" s="5" t="n">
        <f aca="false">SUM(Monthly_Data!C11:K11)+Monthly_Data!L11*$B$4/$B$5</f>
        <v>0</v>
      </c>
      <c r="E17" s="5" t="n">
        <f aca="false">SUM(Monthly_Data!O11:W11)+Monthly_Data!X11</f>
        <v>5.07264483509854</v>
      </c>
      <c r="F17" s="5" t="n">
        <f aca="false">Monthly_Data!L11*$B$6/$B$5+Monthly_Data!M11+Monthly_Data!N11</f>
        <v>0</v>
      </c>
      <c r="G17" s="5" t="n">
        <f aca="false">AVERAGE(Monthly_Data!I11:K11)</f>
        <v>0</v>
      </c>
      <c r="H17" s="5" t="n">
        <f aca="false">AVERAGE(Monthly_Data!U11:W11)</f>
        <v>0.746010954158782</v>
      </c>
      <c r="I17" s="18" t="n">
        <f aca="false">$F$15/$G$15</f>
        <v>3.53636671283838</v>
      </c>
      <c r="J17" s="10" t="n">
        <f aca="false">H17*I17</f>
        <v>2.63816830569991</v>
      </c>
      <c r="K17" s="10" t="n">
        <f aca="false">E17+J17</f>
        <v>7.71081314079845</v>
      </c>
      <c r="L17" s="10" t="n">
        <f aca="false">K17-C17</f>
        <v>7.71081314079845</v>
      </c>
      <c r="M17" s="10" t="n">
        <f aca="false">E17-D17</f>
        <v>5.07264483509854</v>
      </c>
      <c r="N17" s="14" t="str">
        <f aca="false">IF(D17=0,"n/a",E17/D17-1)</f>
        <v>n/a</v>
      </c>
    </row>
    <row r="18" customFormat="false" ht="15" hidden="false" customHeight="false" outlineLevel="0" collapsed="false">
      <c r="A18" s="4" t="s">
        <v>82</v>
      </c>
      <c r="B18" s="4" t="s">
        <v>81</v>
      </c>
      <c r="C18" s="5" t="n">
        <f aca="false">SUM(Monthly_Data!C12:N12)</f>
        <v>30.8692833162584</v>
      </c>
      <c r="D18" s="5" t="n">
        <f aca="false">SUM(Monthly_Data!C12:K12)+Monthly_Data!L12*$B$4/$B$5</f>
        <v>24.6701891879599</v>
      </c>
      <c r="E18" s="5" t="n">
        <f aca="false">SUM(Monthly_Data!O12:W12)+Monthly_Data!X12</f>
        <v>7.76266893015427</v>
      </c>
      <c r="F18" s="5" t="n">
        <f aca="false">Monthly_Data!L12*$B$6/$B$5+Monthly_Data!M12+Monthly_Data!N12</f>
        <v>6.19909412829848</v>
      </c>
      <c r="G18" s="5" t="n">
        <f aca="false">AVERAGE(Monthly_Data!I12:K12)</f>
        <v>2.29038835082368</v>
      </c>
      <c r="H18" s="5" t="n">
        <f aca="false">AVERAGE(Monthly_Data!U12:W12)</f>
        <v>0.570854433618478</v>
      </c>
      <c r="I18" s="18" t="n">
        <f aca="false">$F$15/$G$15</f>
        <v>3.53636671283838</v>
      </c>
      <c r="J18" s="10" t="n">
        <f aca="false">H18*I18</f>
        <v>2.01875061692459</v>
      </c>
      <c r="K18" s="10" t="n">
        <f aca="false">E18+J18</f>
        <v>9.78141954707886</v>
      </c>
      <c r="L18" s="10" t="n">
        <f aca="false">K18-C18</f>
        <v>-21.0878637691795</v>
      </c>
      <c r="M18" s="10" t="n">
        <f aca="false">E18-D18</f>
        <v>-16.9075202578057</v>
      </c>
      <c r="N18" s="14" t="n">
        <f aca="false">IF(D18=0,"n/a",E18/D18-1)</f>
        <v>-0.685342140223928</v>
      </c>
    </row>
    <row r="19" customFormat="false" ht="15" hidden="false" customHeight="false" outlineLevel="0" collapsed="false">
      <c r="A19" s="7" t="s">
        <v>83</v>
      </c>
      <c r="C19" s="13" t="n">
        <f aca="false">SUM(C11:C18)</f>
        <v>4830.53025385</v>
      </c>
      <c r="D19" s="13" t="n">
        <f aca="false">SUM(D11:D18)</f>
        <v>3710.98282463898</v>
      </c>
      <c r="E19" s="13" t="n">
        <f aca="false">SUM(E11:E18)</f>
        <v>3859.99738824</v>
      </c>
      <c r="F19" s="13" t="n">
        <f aca="false">SUM(F11:F18)</f>
        <v>1119.54742921102</v>
      </c>
      <c r="J19" s="13" t="n">
        <f aca="false">SUM(J11:J18)</f>
        <v>1156.85886866429</v>
      </c>
      <c r="K19" s="13" t="n">
        <f aca="false">SUM(K11:K18)</f>
        <v>5016.85625690429</v>
      </c>
      <c r="L19" s="13" t="n">
        <f aca="false">SUM(L11:L18)</f>
        <v>186.326003054292</v>
      </c>
      <c r="M19" s="13" t="n">
        <f aca="false">SUM(M11:M18)</f>
        <v>149.014563601017</v>
      </c>
      <c r="N19" s="19" t="n">
        <f aca="false">E19/D19-1</f>
        <v>0.0401550130093942</v>
      </c>
    </row>
    <row r="20" customFormat="false" ht="15" hidden="false" customHeight="false" outlineLevel="0" collapsed="false">
      <c r="A20" s="2" t="s">
        <v>104</v>
      </c>
    </row>
    <row r="22" customFormat="false" ht="15" hidden="false" customHeight="false" outlineLevel="0" collapsed="false">
      <c r="A22" s="7" t="s">
        <v>105</v>
      </c>
    </row>
    <row r="23" customFormat="false" ht="15" hidden="false" customHeight="false" outlineLevel="0" collapsed="false">
      <c r="A23" s="4" t="s">
        <v>11</v>
      </c>
      <c r="B23" s="10" t="n">
        <f aca="false">K19</f>
        <v>5016.85625690429</v>
      </c>
    </row>
    <row r="24" customFormat="false" ht="15" hidden="false" customHeight="false" outlineLevel="0" collapsed="false">
      <c r="A24" s="4" t="s">
        <v>106</v>
      </c>
      <c r="B24" s="10" t="n">
        <f aca="false">K19-B3</f>
        <v>16.8562569042915</v>
      </c>
    </row>
    <row r="25" customFormat="false" ht="15" hidden="false" customHeight="false" outlineLevel="0" collapsed="false">
      <c r="A25" s="4" t="s">
        <v>5</v>
      </c>
      <c r="B25" s="10" t="n">
        <f aca="false">E19</f>
        <v>3859.99738824</v>
      </c>
    </row>
    <row r="26" customFormat="false" ht="15" hidden="false" customHeight="false" outlineLevel="0" collapsed="false">
      <c r="A26" s="4" t="s">
        <v>107</v>
      </c>
      <c r="B26" s="10" t="n">
        <f aca="false">B3-E19</f>
        <v>1140.00261176</v>
      </c>
    </row>
    <row r="27" customFormat="false" ht="15" hidden="false" customHeight="false" outlineLevel="0" collapsed="false">
      <c r="A27" s="4" t="s">
        <v>108</v>
      </c>
      <c r="B27" s="10" t="n">
        <f aca="false">F19</f>
        <v>1119.54742921102</v>
      </c>
    </row>
    <row r="28" customFormat="false" ht="15" hidden="false" customHeight="false" outlineLevel="0" collapsed="false">
      <c r="A28" s="4" t="s">
        <v>109</v>
      </c>
      <c r="B28" s="14" t="n">
        <f aca="false">B26/B27-1</f>
        <v>0.0182709387876485</v>
      </c>
    </row>
    <row r="29" customFormat="false" ht="15" hidden="false" customHeight="false" outlineLevel="0" collapsed="false">
      <c r="A29" s="4" t="s">
        <v>110</v>
      </c>
      <c r="B29" s="14" t="n">
        <f aca="false">J19/F19-1</f>
        <v>0.0333272521375616</v>
      </c>
    </row>
    <row r="30" customFormat="false" ht="15" hidden="false" customHeight="false" outlineLevel="0" collapsed="false">
      <c r="A30" s="4" t="s">
        <v>111</v>
      </c>
      <c r="B30" s="14" t="n">
        <f aca="false">E19/D19-1</f>
        <v>0.0401550130093942</v>
      </c>
    </row>
    <row r="31" customFormat="false" ht="15" hidden="false" customHeight="false" outlineLevel="0" collapsed="false">
      <c r="A31" s="4" t="s">
        <v>4</v>
      </c>
      <c r="B31" s="10" t="n">
        <f aca="false">C19</f>
        <v>4830.53025385</v>
      </c>
    </row>
    <row r="32" customFormat="false" ht="15" hidden="false" customHeight="false" outlineLevel="0" collapsed="false">
      <c r="A32" s="4" t="s">
        <v>112</v>
      </c>
      <c r="B32" s="14" t="n">
        <f aca="false">K19/C19-1</f>
        <v>0.0385725775976225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8"/>
  </cols>
  <sheetData>
    <row r="1" customFormat="false" ht="15" hidden="false" customHeight="false" outlineLevel="0" collapsed="false">
      <c r="A1" s="1" t="s">
        <v>113</v>
      </c>
    </row>
    <row r="3" customFormat="false" ht="15" hidden="false" customHeight="false" outlineLevel="0" collapsed="false">
      <c r="A3" s="3" t="s">
        <v>114</v>
      </c>
      <c r="B3" s="3" t="s">
        <v>115</v>
      </c>
      <c r="C3" s="3" t="s">
        <v>116</v>
      </c>
      <c r="D3" s="3" t="s">
        <v>117</v>
      </c>
      <c r="E3" s="3" t="s">
        <v>118</v>
      </c>
      <c r="F3" s="3" t="s">
        <v>119</v>
      </c>
    </row>
    <row r="4" customFormat="false" ht="15" hidden="false" customHeight="false" outlineLevel="0" collapsed="false">
      <c r="A4" s="4" t="s">
        <v>37</v>
      </c>
      <c r="B4" s="5" t="n">
        <f aca="false">Model!D11</f>
        <v>3067.68153701919</v>
      </c>
      <c r="C4" s="5" t="n">
        <f aca="false">Model!E11</f>
        <v>3118.796619137</v>
      </c>
      <c r="D4" s="10" t="n">
        <f aca="false">C4-B4</f>
        <v>51.1150821178094</v>
      </c>
      <c r="E4" s="14" t="n">
        <f aca="false">IF(B4=0,"new",C4/B4-1)</f>
        <v>0.0166624473567347</v>
      </c>
      <c r="F4" s="14" t="n">
        <f aca="false">D4/$D$11</f>
        <v>0.34302071477167</v>
      </c>
    </row>
    <row r="5" customFormat="false" ht="15" hidden="false" customHeight="false" outlineLevel="0" collapsed="false">
      <c r="A5" s="4" t="s">
        <v>120</v>
      </c>
      <c r="B5" s="5" t="n">
        <f aca="false">Model!D15</f>
        <v>368.726944759313</v>
      </c>
      <c r="C5" s="5" t="n">
        <f aca="false">Model!E15</f>
        <v>354.876603852342</v>
      </c>
      <c r="D5" s="10" t="n">
        <f aca="false">C5-B5</f>
        <v>-13.850340906971</v>
      </c>
      <c r="E5" s="14" t="n">
        <f aca="false">IF(B5=0,"new",C5/B5-1)</f>
        <v>-0.0375625950417371</v>
      </c>
      <c r="F5" s="14" t="n">
        <f aca="false">D5/$D$11</f>
        <v>-0.0929462233238826</v>
      </c>
    </row>
    <row r="6" customFormat="false" ht="15" hidden="false" customHeight="false" outlineLevel="0" collapsed="false">
      <c r="A6" s="4" t="s">
        <v>121</v>
      </c>
      <c r="B6" s="5" t="n">
        <f aca="false">Model!D12</f>
        <v>38.8256822314039</v>
      </c>
      <c r="C6" s="5" t="n">
        <f aca="false">Model!E12</f>
        <v>172.445202960215</v>
      </c>
      <c r="D6" s="10" t="n">
        <f aca="false">C6-B6</f>
        <v>133.619520728811</v>
      </c>
      <c r="E6" s="14" t="n">
        <f aca="false">IF(B6=0,"new",C6/B6-1)</f>
        <v>3.44152409048292</v>
      </c>
      <c r="F6" s="14" t="n">
        <f aca="false">D6/$D$11</f>
        <v>0.896687662600378</v>
      </c>
    </row>
    <row r="7" customFormat="false" ht="15" hidden="false" customHeight="false" outlineLevel="0" collapsed="false">
      <c r="A7" s="4" t="s">
        <v>122</v>
      </c>
      <c r="B7" s="5" t="n">
        <f aca="false">Model!D13</f>
        <v>0</v>
      </c>
      <c r="C7" s="5" t="n">
        <f aca="false">Model!E13</f>
        <v>28.7493716996874</v>
      </c>
      <c r="D7" s="10" t="n">
        <f aca="false">C7-B7</f>
        <v>28.7493716996874</v>
      </c>
      <c r="E7" s="14" t="str">
        <f aca="false">IF(B7=0,"new",C7/B7-1)</f>
        <v>new</v>
      </c>
      <c r="F7" s="14" t="n">
        <f aca="false">D7/$D$11</f>
        <v>0.192929945939131</v>
      </c>
    </row>
    <row r="8" customFormat="false" ht="15" hidden="false" customHeight="false" outlineLevel="0" collapsed="false">
      <c r="A8" s="4" t="s">
        <v>123</v>
      </c>
      <c r="B8" s="5" t="n">
        <f aca="false">Model!D16+Model!D17</f>
        <v>0</v>
      </c>
      <c r="C8" s="5" t="n">
        <f aca="false">Model!E16+Model!E17</f>
        <v>7.96781353900311</v>
      </c>
      <c r="D8" s="10" t="n">
        <f aca="false">C8-B8</f>
        <v>7.96781353900311</v>
      </c>
      <c r="E8" s="14" t="str">
        <f aca="false">IF(B8=0,"new",C8/B8-1)</f>
        <v>new</v>
      </c>
      <c r="F8" s="14" t="n">
        <f aca="false">D8/$D$11</f>
        <v>0.0534700323676868</v>
      </c>
    </row>
    <row r="9" customFormat="false" ht="15" hidden="false" customHeight="false" outlineLevel="0" collapsed="false">
      <c r="A9" s="4" t="s">
        <v>124</v>
      </c>
      <c r="B9" s="5" t="n">
        <f aca="false">Model!D14</f>
        <v>211.078471441112</v>
      </c>
      <c r="C9" s="5" t="n">
        <f aca="false">Model!E14</f>
        <v>169.399108121595</v>
      </c>
      <c r="D9" s="10" t="n">
        <f aca="false">C9-B9</f>
        <v>-41.6793633195175</v>
      </c>
      <c r="E9" s="14" t="n">
        <f aca="false">IF(B9=0,"new",C9/B9-1)</f>
        <v>-0.197459092037936</v>
      </c>
      <c r="F9" s="14" t="n">
        <f aca="false">D9/$D$11</f>
        <v>-0.279699932089276</v>
      </c>
    </row>
    <row r="10" customFormat="false" ht="15" hidden="false" customHeight="false" outlineLevel="0" collapsed="false">
      <c r="A10" s="4" t="s">
        <v>125</v>
      </c>
      <c r="B10" s="5" t="n">
        <f aca="false">Model!D18</f>
        <v>24.6701891879599</v>
      </c>
      <c r="C10" s="5" t="n">
        <f aca="false">Model!E18</f>
        <v>7.76266893015427</v>
      </c>
      <c r="D10" s="10" t="n">
        <f aca="false">C10-B10</f>
        <v>-16.9075202578057</v>
      </c>
      <c r="E10" s="14" t="n">
        <f aca="false">IF(B10=0,"new",C10/B10-1)</f>
        <v>-0.685342140223928</v>
      </c>
      <c r="F10" s="14" t="n">
        <f aca="false">D10/$D$11</f>
        <v>-0.113462200265708</v>
      </c>
    </row>
    <row r="11" customFormat="false" ht="15" hidden="false" customHeight="false" outlineLevel="0" collapsed="false">
      <c r="A11" s="7" t="s">
        <v>126</v>
      </c>
      <c r="B11" s="13" t="n">
        <f aca="false">SUM(B4:B10)</f>
        <v>3710.98282463898</v>
      </c>
      <c r="C11" s="13" t="n">
        <f aca="false">SUM(C4:C10)</f>
        <v>3859.99738824</v>
      </c>
      <c r="D11" s="13" t="n">
        <f aca="false">SUM(D4:D10)</f>
        <v>149.014563601017</v>
      </c>
      <c r="E11" s="19" t="n">
        <f aca="false">C11/B11-1</f>
        <v>0.0401550130093942</v>
      </c>
      <c r="F11" s="19" t="n">
        <f aca="false">SUM(F4:F10)</f>
        <v>1</v>
      </c>
    </row>
    <row r="13" customFormat="false" ht="15" hidden="false" customHeight="false" outlineLevel="0" collapsed="false">
      <c r="A13" s="7" t="s">
        <v>127</v>
      </c>
    </row>
    <row r="14" customFormat="false" ht="23.85" hidden="false" customHeight="false" outlineLevel="0" collapsed="false">
      <c r="A14" s="3" t="s">
        <v>53</v>
      </c>
      <c r="B14" s="3" t="s">
        <v>128</v>
      </c>
      <c r="C14" s="3" t="s">
        <v>119</v>
      </c>
      <c r="D14" s="3" t="s">
        <v>129</v>
      </c>
      <c r="E14" s="3" t="s">
        <v>130</v>
      </c>
    </row>
    <row r="15" customFormat="false" ht="15" hidden="false" customHeight="false" outlineLevel="0" collapsed="false">
      <c r="A15" s="4" t="s">
        <v>131</v>
      </c>
      <c r="B15" s="10" t="n">
        <f aca="false">D4+D5</f>
        <v>37.2647412108383</v>
      </c>
      <c r="C15" s="14" t="n">
        <f aca="false">B15/$D$11</f>
        <v>0.250074491447788</v>
      </c>
      <c r="D15" s="10" t="n">
        <f aca="false">B4+B5</f>
        <v>3436.40848177851</v>
      </c>
      <c r="E15" s="14" t="n">
        <f aca="false">IF(D15=0,"n/a",B15/D15)</f>
        <v>0.0108440953421091</v>
      </c>
    </row>
    <row r="16" customFormat="false" ht="15" hidden="false" customHeight="false" outlineLevel="0" collapsed="false">
      <c r="A16" s="4" t="s">
        <v>132</v>
      </c>
      <c r="B16" s="10" t="n">
        <f aca="false">D6+D7+D8</f>
        <v>170.336705967502</v>
      </c>
      <c r="C16" s="14" t="n">
        <f aca="false">B16/$D$11</f>
        <v>1.1430876409072</v>
      </c>
      <c r="D16" s="10" t="n">
        <f aca="false">B6+B7+B8</f>
        <v>38.8256822314039</v>
      </c>
      <c r="E16" s="14" t="n">
        <f aca="false">IF(D16=0,"n/a",B16/D16)</f>
        <v>4.38721733084515</v>
      </c>
    </row>
    <row r="17" customFormat="false" ht="15" hidden="false" customHeight="false" outlineLevel="0" collapsed="false">
      <c r="A17" s="4" t="s">
        <v>133</v>
      </c>
      <c r="B17" s="10" t="n">
        <f aca="false">D9+D10</f>
        <v>-58.5868835773232</v>
      </c>
      <c r="C17" s="14" t="n">
        <f aca="false">B17/$D$11</f>
        <v>-0.393162132354983</v>
      </c>
      <c r="D17" s="10" t="n">
        <f aca="false">B9+B10</f>
        <v>235.748660629072</v>
      </c>
      <c r="E17" s="14" t="n">
        <f aca="false">IF(D17=0,"n/a",B17/D17)</f>
        <v>-0.248514173616044</v>
      </c>
    </row>
    <row r="19" customFormat="false" ht="15" hidden="false" customHeight="false" outlineLevel="0" collapsed="false">
      <c r="A19" s="7" t="s">
        <v>134</v>
      </c>
      <c r="B19" s="20" t="n">
        <f aca="false">E4</f>
        <v>0.0166624473567347</v>
      </c>
    </row>
    <row r="20" customFormat="false" ht="15" hidden="false" customHeight="false" outlineLevel="0" collapsed="false">
      <c r="A20" s="7" t="s">
        <v>135</v>
      </c>
      <c r="B20" s="20" t="n">
        <f aca="false">E5</f>
        <v>-0.0375625950417371</v>
      </c>
    </row>
    <row r="21" customFormat="false" ht="15" hidden="false" customHeight="false" outlineLevel="0" collapsed="false">
      <c r="A21" s="7" t="s">
        <v>136</v>
      </c>
      <c r="B21" s="20" t="n">
        <f aca="false">(C4+C5)/(B4+B5)-1</f>
        <v>0.010844095342109</v>
      </c>
    </row>
    <row r="23" customFormat="false" ht="15" hidden="false" customHeight="false" outlineLevel="0" collapsed="false">
      <c r="A23" s="2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2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13"/>
  </cols>
  <sheetData>
    <row r="1" customFormat="false" ht="1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15" hidden="false" customHeight="false" outlineLevel="0" collapsed="false">
      <c r="A4" s="7" t="s">
        <v>140</v>
      </c>
    </row>
    <row r="5" customFormat="false" ht="39.75" hidden="false" customHeight="true" outlineLevel="0" collapsed="false">
      <c r="A5" s="3" t="s">
        <v>141</v>
      </c>
      <c r="B5" s="3" t="s">
        <v>115</v>
      </c>
      <c r="C5" s="3" t="s">
        <v>116</v>
      </c>
      <c r="D5" s="3" t="s">
        <v>117</v>
      </c>
      <c r="E5" s="3" t="s">
        <v>118</v>
      </c>
      <c r="F5" s="3" t="s">
        <v>142</v>
      </c>
      <c r="G5" s="3" t="s">
        <v>143</v>
      </c>
      <c r="H5" s="3" t="s">
        <v>144</v>
      </c>
      <c r="I5" s="3" t="s">
        <v>145</v>
      </c>
      <c r="J5" s="3" t="s">
        <v>146</v>
      </c>
      <c r="K5" s="3" t="s">
        <v>147</v>
      </c>
      <c r="L5" s="3" t="s">
        <v>148</v>
      </c>
      <c r="M5" s="3" t="s">
        <v>149</v>
      </c>
    </row>
    <row r="6" customFormat="false" ht="15" hidden="false" customHeight="false" outlineLevel="0" collapsed="false">
      <c r="A6" s="4" t="s">
        <v>150</v>
      </c>
      <c r="B6" s="12" t="n">
        <v>553.108976110929</v>
      </c>
      <c r="C6" s="12" t="n">
        <v>564.496092774022</v>
      </c>
      <c r="D6" s="10" t="n">
        <f aca="false">C6-B6</f>
        <v>11.3871166630931</v>
      </c>
      <c r="E6" s="14" t="n">
        <f aca="false">IF(B6&lt;0.05,"new",C6/B6-1)</f>
        <v>0.020587473996823</v>
      </c>
      <c r="F6" s="14" t="n">
        <f aca="false">B6/B$30</f>
        <v>0.180301954240131</v>
      </c>
      <c r="G6" s="14" t="n">
        <f aca="false">C6/C$30</f>
        <v>0.180998045627683</v>
      </c>
      <c r="H6" s="21" t="n">
        <f aca="false">(G6-F6)*100</f>
        <v>0.0696091387551917</v>
      </c>
      <c r="I6" s="21" t="n">
        <f aca="false">D6/B$30*100</f>
        <v>0.371196179449506</v>
      </c>
      <c r="J6" s="16" t="n">
        <v>1829091.32258065</v>
      </c>
      <c r="K6" s="16" t="n">
        <v>1823507</v>
      </c>
      <c r="L6" s="14" t="n">
        <f aca="false">IF(J6&lt;1,"new",K6/J6-1)</f>
        <v>-0.00305305837478154</v>
      </c>
      <c r="M6" s="14" t="n">
        <f aca="false">IF(OR(J6&lt;1,K6&lt;1,B6&lt;=0),"n/a",(C6/K6)/(B6/J6)-1)</f>
        <v>0.0237129293290832</v>
      </c>
    </row>
    <row r="7" customFormat="false" ht="15" hidden="false" customHeight="false" outlineLevel="0" collapsed="false">
      <c r="A7" s="4" t="s">
        <v>151</v>
      </c>
      <c r="B7" s="12" t="n">
        <v>503.833254039707</v>
      </c>
      <c r="C7" s="12" t="n">
        <v>508.662098743933</v>
      </c>
      <c r="D7" s="10" t="n">
        <f aca="false">C7-B7</f>
        <v>4.82884470422619</v>
      </c>
      <c r="E7" s="14" t="n">
        <f aca="false">IF(B7&lt;0.05,"new",C7/B7-1)</f>
        <v>0.00958421196994985</v>
      </c>
      <c r="F7" s="14" t="n">
        <f aca="false">B7/B$30</f>
        <v>0.164239099776071</v>
      </c>
      <c r="G7" s="14" t="n">
        <f aca="false">C7/C$30</f>
        <v>0.163095629776809</v>
      </c>
      <c r="H7" s="21" t="n">
        <f aca="false">(G7-F7)*100</f>
        <v>-0.114346999926199</v>
      </c>
      <c r="I7" s="21" t="n">
        <f aca="false">D7/B$30*100</f>
        <v>0.157410234600762</v>
      </c>
      <c r="J7" s="16" t="n">
        <v>915229.838709678</v>
      </c>
      <c r="K7" s="16" t="n">
        <v>900082</v>
      </c>
      <c r="L7" s="14" t="n">
        <f aca="false">IF(J7&lt;1,"new",K7/J7-1)</f>
        <v>-0.0165508575758778</v>
      </c>
      <c r="M7" s="14" t="n">
        <f aca="false">IF(OR(J7&lt;1,K7&lt;1,B7&lt;=0),"n/a",(C7/K7)/(B7/J7)-1)</f>
        <v>0.0265749070474624</v>
      </c>
    </row>
    <row r="8" customFormat="false" ht="15" hidden="false" customHeight="false" outlineLevel="0" collapsed="false">
      <c r="A8" s="4" t="s">
        <v>152</v>
      </c>
      <c r="B8" s="12" t="n">
        <v>479.341806973733</v>
      </c>
      <c r="C8" s="12" t="n">
        <v>480.203153538075</v>
      </c>
      <c r="D8" s="10" t="n">
        <f aca="false">C8-B8</f>
        <v>0.861346564342171</v>
      </c>
      <c r="E8" s="14" t="n">
        <f aca="false">IF(B8&lt;0.05,"new",C8/B8-1)</f>
        <v>0.00179693603147246</v>
      </c>
      <c r="F8" s="14" t="n">
        <f aca="false">B8/B$30</f>
        <v>0.156255400434916</v>
      </c>
      <c r="G8" s="14" t="n">
        <f aca="false">C8/C$30</f>
        <v>0.153970653485879</v>
      </c>
      <c r="H8" s="21" t="n">
        <f aca="false">(G8-F8)*100</f>
        <v>-0.228474694903688</v>
      </c>
      <c r="I8" s="21" t="n">
        <f aca="false">D8/B$30*100</f>
        <v>0.0280780959153643</v>
      </c>
      <c r="J8" s="16" t="n">
        <v>970338.838709678</v>
      </c>
      <c r="K8" s="16" t="n">
        <v>956500</v>
      </c>
      <c r="L8" s="14" t="n">
        <f aca="false">IF(J8&lt;1,"new",K8/J8-1)</f>
        <v>-0.0142618621017786</v>
      </c>
      <c r="M8" s="14" t="n">
        <f aca="false">IF(OR(J8&lt;1,K8&lt;1,B8&lt;=0),"n/a",(C8/K8)/(B8/J8)-1)</f>
        <v>0.0162911401272261</v>
      </c>
    </row>
    <row r="9" customFormat="false" ht="15" hidden="false" customHeight="false" outlineLevel="0" collapsed="false">
      <c r="A9" s="4" t="s">
        <v>153</v>
      </c>
      <c r="B9" s="12" t="n">
        <v>359.55042558263</v>
      </c>
      <c r="C9" s="12" t="n">
        <v>376.129377561515</v>
      </c>
      <c r="D9" s="10" t="n">
        <f aca="false">C9-B9</f>
        <v>16.5789519788854</v>
      </c>
      <c r="E9" s="14" t="n">
        <f aca="false">IF(B9&lt;0.05,"new",C9/B9-1)</f>
        <v>0.0461102276600569</v>
      </c>
      <c r="F9" s="14" t="n">
        <f aca="false">B9/B$30</f>
        <v>0.117205916339021</v>
      </c>
      <c r="G9" s="14" t="n">
        <f aca="false">C9/C$30</f>
        <v>0.120600803288543</v>
      </c>
      <c r="H9" s="21" t="n">
        <f aca="false">(G9-F9)*100</f>
        <v>0.339488694952253</v>
      </c>
      <c r="I9" s="21" t="n">
        <f aca="false">D9/B$30*100</f>
        <v>0.540439148549783</v>
      </c>
      <c r="J9" s="16" t="n">
        <v>3230801.67741936</v>
      </c>
      <c r="K9" s="16" t="n">
        <v>3065291</v>
      </c>
      <c r="L9" s="14" t="n">
        <f aca="false">IF(J9&lt;1,"new",K9/J9-1)</f>
        <v>-0.0512289808984991</v>
      </c>
      <c r="M9" s="14" t="n">
        <f aca="false">IF(OR(J9&lt;1,K9&lt;1,B9&lt;=0),"n/a",(C9/K9)/(B9/J9)-1)</f>
        <v>0.10259504832972</v>
      </c>
    </row>
    <row r="10" customFormat="false" ht="15" hidden="false" customHeight="false" outlineLevel="0" collapsed="false">
      <c r="A10" s="4" t="s">
        <v>154</v>
      </c>
      <c r="B10" s="12" t="n">
        <v>235.161692872849</v>
      </c>
      <c r="C10" s="12" t="n">
        <v>239.988895647265</v>
      </c>
      <c r="D10" s="10" t="n">
        <f aca="false">C10-B10</f>
        <v>4.8272027744159</v>
      </c>
      <c r="E10" s="14" t="n">
        <f aca="false">IF(B10&lt;0.05,"new",C10/B10-1)</f>
        <v>0.0205271645880945</v>
      </c>
      <c r="F10" s="14" t="n">
        <f aca="false">B10/B$30</f>
        <v>0.0766577918975745</v>
      </c>
      <c r="G10" s="14" t="n">
        <f aca="false">C10/C$30</f>
        <v>0.0769491970636006</v>
      </c>
      <c r="H10" s="21" t="n">
        <f aca="false">(G10-F10)*100</f>
        <v>0.0291405166026146</v>
      </c>
      <c r="I10" s="21" t="n">
        <f aca="false">D10/B$30*100</f>
        <v>0.157356711124141</v>
      </c>
      <c r="J10" s="16" t="n">
        <v>767047.64516129</v>
      </c>
      <c r="K10" s="16" t="n">
        <v>781279</v>
      </c>
      <c r="L10" s="14" t="n">
        <f aca="false">IF(J10&lt;1,"new",K10/J10-1)</f>
        <v>0.0185534170249844</v>
      </c>
      <c r="M10" s="14" t="n">
        <f aca="false">IF(OR(J10&lt;1,K10&lt;1,B10&lt;=0),"n/a",(C10/K10)/(B10/J10)-1)</f>
        <v>0.00193779484720102</v>
      </c>
    </row>
    <row r="11" customFormat="false" ht="15" hidden="false" customHeight="false" outlineLevel="0" collapsed="false">
      <c r="A11" s="4" t="s">
        <v>155</v>
      </c>
      <c r="B11" s="12" t="n">
        <v>175.908654843701</v>
      </c>
      <c r="C11" s="12" t="n">
        <v>166.136177144841</v>
      </c>
      <c r="D11" s="10" t="n">
        <f aca="false">C11-B11</f>
        <v>-9.77247769886063</v>
      </c>
      <c r="E11" s="14" t="n">
        <f aca="false">IF(B11&lt;0.05,"new",C11/B11-1)</f>
        <v>-0.0555542745042515</v>
      </c>
      <c r="F11" s="14" t="n">
        <f aca="false">B11/B$30</f>
        <v>0.0573425411734976</v>
      </c>
      <c r="G11" s="14" t="n">
        <f aca="false">C11/C$30</f>
        <v>0.0532693206493253</v>
      </c>
      <c r="H11" s="21" t="n">
        <f aca="false">(G11-F11)*100</f>
        <v>-0.407322052417224</v>
      </c>
      <c r="I11" s="21" t="n">
        <f aca="false">D11/B$30*100</f>
        <v>-0.318562327312383</v>
      </c>
      <c r="J11" s="16" t="n">
        <v>745705.935483871</v>
      </c>
      <c r="K11" s="16" t="n">
        <v>694514</v>
      </c>
      <c r="L11" s="14" t="n">
        <f aca="false">IF(J11&lt;1,"new",K11/J11-1)</f>
        <v>-0.0686489580516129</v>
      </c>
      <c r="M11" s="14" t="n">
        <f aca="false">IF(OR(J11&lt;1,K11&lt;1,B11&lt;=0),"n/a",(C11/K11)/(B11/J11)-1)</f>
        <v>0.0140598796346083</v>
      </c>
    </row>
    <row r="12" customFormat="false" ht="15" hidden="false" customHeight="false" outlineLevel="0" collapsed="false">
      <c r="A12" s="4" t="s">
        <v>156</v>
      </c>
      <c r="B12" s="12" t="n">
        <v>126.951906077398</v>
      </c>
      <c r="C12" s="12" t="n">
        <v>126.153375461122</v>
      </c>
      <c r="D12" s="10" t="n">
        <f aca="false">C12-B12</f>
        <v>-0.798530616275713</v>
      </c>
      <c r="E12" s="14" t="n">
        <f aca="false">IF(B12&lt;0.05,"new",C12/B12-1)</f>
        <v>-0.00629002463175998</v>
      </c>
      <c r="F12" s="14" t="n">
        <f aca="false">B12/B$30</f>
        <v>0.0413836653333823</v>
      </c>
      <c r="G12" s="14" t="n">
        <f aca="false">C12/C$30</f>
        <v>0.040449375469706</v>
      </c>
      <c r="H12" s="21" t="n">
        <f aca="false">(G12-F12)*100</f>
        <v>-0.0934289863676267</v>
      </c>
      <c r="I12" s="21" t="n">
        <f aca="false">D12/B$30*100</f>
        <v>-0.0260304274299486</v>
      </c>
      <c r="J12" s="16" t="n">
        <v>240373.516129032</v>
      </c>
      <c r="K12" s="16" t="n">
        <v>247827</v>
      </c>
      <c r="L12" s="14" t="n">
        <f aca="false">IF(J12&lt;1,"new",K12/J12-1)</f>
        <v>0.031007924629129</v>
      </c>
      <c r="M12" s="14" t="n">
        <f aca="false">IF(OR(J12&lt;1,K12&lt;1,B12&lt;=0),"n/a",(C12/K12)/(B12/J12)-1)</f>
        <v>-0.0361762003665546</v>
      </c>
    </row>
    <row r="13" customFormat="false" ht="15" hidden="false" customHeight="false" outlineLevel="0" collapsed="false">
      <c r="A13" s="4" t="s">
        <v>157</v>
      </c>
      <c r="B13" s="12" t="n">
        <v>132.149667252286</v>
      </c>
      <c r="C13" s="12" t="n">
        <v>121.398710861906</v>
      </c>
      <c r="D13" s="10" t="n">
        <f aca="false">C13-B13</f>
        <v>-10.7509563903806</v>
      </c>
      <c r="E13" s="14" t="n">
        <f aca="false">IF(B13&lt;0.05,"new",C13/B13-1)</f>
        <v>-0.0813543962230039</v>
      </c>
      <c r="F13" s="14" t="n">
        <f aca="false">B13/B$30</f>
        <v>0.0430780267304714</v>
      </c>
      <c r="G13" s="14" t="n">
        <f aca="false">C13/C$30</f>
        <v>0.038924856502986</v>
      </c>
      <c r="H13" s="21" t="n">
        <f aca="false">(G13-F13)*100</f>
        <v>-0.415317022748538</v>
      </c>
      <c r="I13" s="21" t="n">
        <f aca="false">D13/B$30*100</f>
        <v>-0.350458685513592</v>
      </c>
      <c r="J13" s="16" t="n">
        <v>526717.612903226</v>
      </c>
      <c r="K13" s="16" t="n">
        <v>491316</v>
      </c>
      <c r="L13" s="14" t="n">
        <f aca="false">IF(J13&lt;1,"new",K13/J13-1)</f>
        <v>-0.0672117507293802</v>
      </c>
      <c r="M13" s="14" t="n">
        <f aca="false">IF(OR(J13&lt;1,K13&lt;1,B13&lt;=0),"n/a",(C13/K13)/(B13/J13)-1)</f>
        <v>-0.0151616891665201</v>
      </c>
    </row>
    <row r="14" customFormat="false" ht="15" hidden="false" customHeight="false" outlineLevel="0" collapsed="false">
      <c r="A14" s="4" t="s">
        <v>158</v>
      </c>
      <c r="B14" s="12" t="n">
        <v>91.2765166297046</v>
      </c>
      <c r="C14" s="12" t="n">
        <v>95.540565168734</v>
      </c>
      <c r="D14" s="10" t="n">
        <f aca="false">C14-B14</f>
        <v>4.26404853902939</v>
      </c>
      <c r="E14" s="14" t="n">
        <f aca="false">IF(B14&lt;0.05,"new",C14/B14-1)</f>
        <v>0.0467157237860862</v>
      </c>
      <c r="F14" s="14" t="n">
        <f aca="false">B14/B$30</f>
        <v>0.0297542347627115</v>
      </c>
      <c r="G14" s="14" t="n">
        <f aca="false">C14/C$30</f>
        <v>0.0306337914381769</v>
      </c>
      <c r="H14" s="21" t="n">
        <f aca="false">(G14-F14)*100</f>
        <v>0.0879556675465378</v>
      </c>
      <c r="I14" s="21" t="n">
        <f aca="false">D14/B$30*100</f>
        <v>0.138999061264119</v>
      </c>
      <c r="J14" s="16" t="n">
        <v>115442.290322581</v>
      </c>
      <c r="K14" s="16" t="n">
        <v>128084</v>
      </c>
      <c r="L14" s="14" t="n">
        <f aca="false">IF(J14&lt;1,"new",K14/J14-1)</f>
        <v>0.109506746982363</v>
      </c>
      <c r="M14" s="14" t="n">
        <f aca="false">IF(OR(J14&lt;1,K14&lt;1,B14&lt;=0),"n/a",(C14/K14)/(B14/J14)-1)</f>
        <v>-0.0565936379990979</v>
      </c>
    </row>
    <row r="15" customFormat="false" ht="15" hidden="false" customHeight="false" outlineLevel="0" collapsed="false">
      <c r="A15" s="4" t="s">
        <v>159</v>
      </c>
      <c r="B15" s="12" t="n">
        <v>72.3739389637621</v>
      </c>
      <c r="C15" s="12" t="n">
        <v>76.0445105790965</v>
      </c>
      <c r="D15" s="10" t="n">
        <f aca="false">C15-B15</f>
        <v>3.67057161533438</v>
      </c>
      <c r="E15" s="14" t="n">
        <f aca="false">IF(B15&lt;0.05,"new",C15/B15-1)</f>
        <v>0.0507167589313089</v>
      </c>
      <c r="F15" s="14" t="n">
        <f aca="false">B15/B$30</f>
        <v>0.0235923899173988</v>
      </c>
      <c r="G15" s="14" t="n">
        <f aca="false">C15/C$30</f>
        <v>0.0243826449318579</v>
      </c>
      <c r="H15" s="21" t="n">
        <f aca="false">(G15-F15)*100</f>
        <v>0.0790255014459115</v>
      </c>
      <c r="I15" s="21" t="n">
        <f aca="false">D15/B$30*100</f>
        <v>0.119652955205416</v>
      </c>
      <c r="J15" s="16" t="n">
        <v>284827.387096774</v>
      </c>
      <c r="K15" s="16" t="n">
        <v>319411</v>
      </c>
      <c r="L15" s="14" t="n">
        <f aca="false">IF(J15&lt;1,"new",K15/J15-1)</f>
        <v>0.121419549067013</v>
      </c>
      <c r="M15" s="14" t="n">
        <f aca="false">IF(OR(J15&lt;1,K15&lt;1,B15&lt;=0),"n/a",(C15/K15)/(B15/J15)-1)</f>
        <v>-0.0630475812505021</v>
      </c>
    </row>
    <row r="16" customFormat="false" ht="15" hidden="false" customHeight="false" outlineLevel="0" collapsed="false">
      <c r="A16" s="4" t="s">
        <v>160</v>
      </c>
      <c r="B16" s="12" t="n">
        <v>68.3068309542978</v>
      </c>
      <c r="C16" s="12" t="n">
        <v>69.383409539373</v>
      </c>
      <c r="D16" s="10" t="n">
        <f aca="false">C16-B16</f>
        <v>1.07657858507524</v>
      </c>
      <c r="E16" s="14" t="n">
        <f aca="false">IF(B16&lt;0.05,"new",C16/B16-1)</f>
        <v>0.0157609212729477</v>
      </c>
      <c r="F16" s="14" t="n">
        <f aca="false">B16/B$30</f>
        <v>0.022266597797068</v>
      </c>
      <c r="G16" s="14" t="n">
        <f aca="false">C16/C$30</f>
        <v>0.0222468528770472</v>
      </c>
      <c r="H16" s="21" t="n">
        <f aca="false">(G16-F16)*100</f>
        <v>-0.00197449200208429</v>
      </c>
      <c r="I16" s="21" t="n">
        <f aca="false">D16/B$30*100</f>
        <v>0.0350942094895981</v>
      </c>
      <c r="J16" s="16" t="n">
        <v>104096.451612903</v>
      </c>
      <c r="K16" s="16" t="n">
        <v>104671</v>
      </c>
      <c r="L16" s="14" t="n">
        <f aca="false">IF(J16&lt;1,"new",K16/J16-1)</f>
        <v>0.00551938493766668</v>
      </c>
      <c r="M16" s="14" t="n">
        <f aca="false">IF(OR(J16&lt;1,K16&lt;1,B16&lt;=0),"n/a",(C16/K16)/(B16/J16)-1)</f>
        <v>0.0101853196354995</v>
      </c>
    </row>
    <row r="17" customFormat="false" ht="15" hidden="false" customHeight="false" outlineLevel="0" collapsed="false">
      <c r="A17" s="4" t="s">
        <v>161</v>
      </c>
      <c r="B17" s="12" t="n">
        <v>63.307480863305</v>
      </c>
      <c r="C17" s="12" t="n">
        <v>69.2696325228183</v>
      </c>
      <c r="D17" s="10" t="n">
        <f aca="false">C17-B17</f>
        <v>5.96215165951325</v>
      </c>
      <c r="E17" s="14" t="n">
        <f aca="false">IF(B17&lt;0.05,"new",C17/B17-1)</f>
        <v>0.0941776797656326</v>
      </c>
      <c r="F17" s="14" t="n">
        <f aca="false">B17/B$30</f>
        <v>0.0206369142622346</v>
      </c>
      <c r="G17" s="14" t="n">
        <f aca="false">C17/C$30</f>
        <v>0.0222103718138523</v>
      </c>
      <c r="H17" s="21" t="n">
        <f aca="false">(G17-F17)*100</f>
        <v>0.157345755161772</v>
      </c>
      <c r="I17" s="21" t="n">
        <f aca="false">D17/B$30*100</f>
        <v>0.194353670273954</v>
      </c>
      <c r="J17" s="16" t="n">
        <v>146526.806451613</v>
      </c>
      <c r="K17" s="16" t="n">
        <v>147564</v>
      </c>
      <c r="L17" s="14" t="n">
        <f aca="false">IF(J17&lt;1,"new",K17/J17-1)</f>
        <v>0.00707852422027355</v>
      </c>
      <c r="M17" s="14" t="n">
        <f aca="false">IF(OR(J17&lt;1,K17&lt;1,B17&lt;=0),"n/a",(C17/K17)/(B17/J17)-1)</f>
        <v>0.0864869555358607</v>
      </c>
    </row>
    <row r="18" customFormat="false" ht="15" hidden="false" customHeight="false" outlineLevel="0" collapsed="false">
      <c r="A18" s="4" t="s">
        <v>162</v>
      </c>
      <c r="B18" s="12" t="n">
        <v>64.6689850618047</v>
      </c>
      <c r="C18" s="12" t="n">
        <v>65.9493227848169</v>
      </c>
      <c r="D18" s="10" t="n">
        <f aca="false">C18-B18</f>
        <v>1.28033772301225</v>
      </c>
      <c r="E18" s="14" t="n">
        <f aca="false">IF(B18&lt;0.05,"new",C18/B18-1)</f>
        <v>0.0197983271546418</v>
      </c>
      <c r="F18" s="14" t="n">
        <f aca="false">B18/B$30</f>
        <v>0.0210807361459828</v>
      </c>
      <c r="G18" s="14" t="n">
        <f aca="false">C18/C$30</f>
        <v>0.0211457593547942</v>
      </c>
      <c r="H18" s="21" t="n">
        <f aca="false">(G18-F18)*100</f>
        <v>0.00650232088114065</v>
      </c>
      <c r="I18" s="21" t="n">
        <f aca="false">D18/B$30*100</f>
        <v>0.0417363310878851</v>
      </c>
      <c r="J18" s="16" t="n">
        <v>230560.64516129</v>
      </c>
      <c r="K18" s="16" t="n">
        <v>236719</v>
      </c>
      <c r="L18" s="14" t="n">
        <f aca="false">IF(J18&lt;1,"new",K18/J18-1)</f>
        <v>0.0267103470082744</v>
      </c>
      <c r="M18" s="14" t="n">
        <f aca="false">IF(OR(J18&lt;1,K18&lt;1,B18&lt;=0),"n/a",(C18/K18)/(B18/J18)-1)</f>
        <v>-0.00673220044365352</v>
      </c>
    </row>
    <row r="19" customFormat="false" ht="15" hidden="false" customHeight="false" outlineLevel="0" collapsed="false">
      <c r="A19" s="4" t="s">
        <v>163</v>
      </c>
      <c r="B19" s="12" t="n">
        <v>28.6820702958976</v>
      </c>
      <c r="C19" s="12" t="n">
        <v>35.7384583061651</v>
      </c>
      <c r="D19" s="10" t="n">
        <f aca="false">C19-B19</f>
        <v>7.05638801026752</v>
      </c>
      <c r="E19" s="14" t="n">
        <f aca="false">IF(B19&lt;0.05,"new",C19/B19-1)</f>
        <v>0.246020874276875</v>
      </c>
      <c r="F19" s="14" t="n">
        <f aca="false">B19/B$30</f>
        <v>0.0093497548392091</v>
      </c>
      <c r="G19" s="14" t="n">
        <f aca="false">C19/C$30</f>
        <v>0.0114590538180249</v>
      </c>
      <c r="H19" s="21" t="n">
        <f aca="false">(G19-F19)*100</f>
        <v>0.210929897881583</v>
      </c>
      <c r="I19" s="21" t="n">
        <f aca="false">D19/B$30*100</f>
        <v>0.230023485981667</v>
      </c>
      <c r="J19" s="16" t="n">
        <v>130568.677419355</v>
      </c>
      <c r="K19" s="16" t="n">
        <v>125790</v>
      </c>
      <c r="L19" s="14" t="n">
        <f aca="false">IF(J19&lt;1,"new",K19/J19-1)</f>
        <v>-0.0365989570684465</v>
      </c>
      <c r="M19" s="14" t="n">
        <f aca="false">IF(OR(J19&lt;1,K19&lt;1,B19&lt;=0),"n/a",(C19/K19)/(B19/J19)-1)</f>
        <v>0.293356368481117</v>
      </c>
    </row>
    <row r="20" customFormat="false" ht="15" hidden="false" customHeight="false" outlineLevel="0" collapsed="false">
      <c r="A20" s="4" t="s">
        <v>164</v>
      </c>
      <c r="B20" s="12" t="n">
        <v>21.8070051510693</v>
      </c>
      <c r="C20" s="12" t="n">
        <v>33.3800317416204</v>
      </c>
      <c r="D20" s="10" t="n">
        <f aca="false">C20-B20</f>
        <v>11.5730265905512</v>
      </c>
      <c r="E20" s="14" t="n">
        <f aca="false">IF(B20&lt;0.05,"new",C20/B20-1)</f>
        <v>0.530702245006978</v>
      </c>
      <c r="F20" s="14" t="n">
        <f aca="false">B20/B$30</f>
        <v>0.00710862743994564</v>
      </c>
      <c r="G20" s="14" t="n">
        <f aca="false">C20/C$30</f>
        <v>0.0107028562031906</v>
      </c>
      <c r="H20" s="21" t="n">
        <f aca="false">(G20-F20)*100</f>
        <v>0.359422876324499</v>
      </c>
      <c r="I20" s="21" t="n">
        <f aca="false">D20/B$30*100</f>
        <v>0.377256454129736</v>
      </c>
      <c r="J20" s="16" t="n">
        <v>50835.6451612903</v>
      </c>
      <c r="K20" s="16" t="n">
        <v>96752</v>
      </c>
      <c r="L20" s="14" t="n">
        <f aca="false">IF(J20&lt;1,"new",K20/J20-1)</f>
        <v>0.903231476516668</v>
      </c>
      <c r="M20" s="14" t="n">
        <f aca="false">IF(OR(J20&lt;1,K20&lt;1,B20&lt;=0),"n/a",(C20/K20)/(B20/J20)-1)</f>
        <v>-0.195735114780416</v>
      </c>
    </row>
    <row r="21" customFormat="false" ht="15" hidden="false" customHeight="false" outlineLevel="0" collapsed="false">
      <c r="A21" s="4" t="s">
        <v>165</v>
      </c>
      <c r="B21" s="12" t="n">
        <v>37.1742223106941</v>
      </c>
      <c r="C21" s="12" t="n">
        <v>33.2122156036852</v>
      </c>
      <c r="D21" s="10" t="n">
        <f aca="false">C21-B21</f>
        <v>-3.96200670700884</v>
      </c>
      <c r="E21" s="14" t="n">
        <f aca="false">IF(B21&lt;0.05,"new",C21/B21-1)</f>
        <v>-0.106579410697425</v>
      </c>
      <c r="F21" s="14" t="n">
        <f aca="false">B21/B$30</f>
        <v>0.0121180187258993</v>
      </c>
      <c r="G21" s="14" t="n">
        <f aca="false">C21/C$30</f>
        <v>0.0106490482258107</v>
      </c>
      <c r="H21" s="21" t="n">
        <f aca="false">(G21-F21)*100</f>
        <v>-0.146897050008861</v>
      </c>
      <c r="I21" s="21" t="n">
        <f aca="false">D21/B$30*100</f>
        <v>-0.129153129462671</v>
      </c>
      <c r="J21" s="16" t="n">
        <v>181452.774193548</v>
      </c>
      <c r="K21" s="16" t="n">
        <v>165097</v>
      </c>
      <c r="L21" s="14" t="n">
        <f aca="false">IF(J21&lt;1,"new",K21/J21-1)</f>
        <v>-0.0901379120062521</v>
      </c>
      <c r="M21" s="14" t="n">
        <f aca="false">IF(OR(J21&lt;1,K21&lt;1,B21&lt;=0),"n/a",(C21/K21)/(B21/J21)-1)</f>
        <v>-0.0180703195661515</v>
      </c>
    </row>
    <row r="22" customFormat="false" ht="15" hidden="false" customHeight="false" outlineLevel="0" collapsed="false">
      <c r="A22" s="4" t="s">
        <v>166</v>
      </c>
      <c r="B22" s="12" t="n">
        <v>11.5019351879098</v>
      </c>
      <c r="C22" s="12" t="n">
        <v>15.4783861286771</v>
      </c>
      <c r="D22" s="10" t="n">
        <f aca="false">C22-B22</f>
        <v>3.9764509407673</v>
      </c>
      <c r="E22" s="14" t="n">
        <f aca="false">IF(B22&lt;0.05,"new",C22/B22-1)</f>
        <v>0.345720165850624</v>
      </c>
      <c r="F22" s="14" t="n">
        <f aca="false">B22/B$30</f>
        <v>0.00374939023138823</v>
      </c>
      <c r="G22" s="14" t="n">
        <f aca="false">C22/C$30</f>
        <v>0.0049629353942804</v>
      </c>
      <c r="H22" s="21" t="n">
        <f aca="false">(G22-F22)*100</f>
        <v>0.121354516289217</v>
      </c>
      <c r="I22" s="21" t="n">
        <f aca="false">D22/B$30*100</f>
        <v>0.129623981263425</v>
      </c>
      <c r="J22" s="16" t="n">
        <v>88347.3870967742</v>
      </c>
      <c r="K22" s="16" t="n">
        <v>220953</v>
      </c>
      <c r="L22" s="14" t="n">
        <f aca="false">IF(J22&lt;1,"new",K22/J22-1)</f>
        <v>1.50095681673044</v>
      </c>
      <c r="M22" s="14" t="n">
        <f aca="false">IF(OR(J22&lt;1,K22&lt;1,B22&lt;=0),"n/a",(C22/K22)/(B22/J22)-1)</f>
        <v>-0.461917872052698</v>
      </c>
    </row>
    <row r="23" customFormat="false" ht="15" hidden="false" customHeight="false" outlineLevel="0" collapsed="false">
      <c r="A23" s="4" t="s">
        <v>167</v>
      </c>
      <c r="B23" s="12" t="n">
        <v>15.6114130409179</v>
      </c>
      <c r="C23" s="12" t="n">
        <v>15.1121279431231</v>
      </c>
      <c r="D23" s="10" t="n">
        <f aca="false">C23-B23</f>
        <v>-0.499285097794779</v>
      </c>
      <c r="E23" s="14" t="n">
        <f aca="false">IF(B23&lt;0.05,"new",C23/B23-1)</f>
        <v>-0.0319820567482355</v>
      </c>
      <c r="F23" s="14" t="n">
        <f aca="false">B23/B$30</f>
        <v>0.00508899403426576</v>
      </c>
      <c r="G23" s="14" t="n">
        <f aca="false">C23/C$30</f>
        <v>0.00484549965534616</v>
      </c>
      <c r="H23" s="21" t="n">
        <f aca="false">(G23-F23)*100</f>
        <v>-0.0243494378919602</v>
      </c>
      <c r="I23" s="21" t="n">
        <f aca="false">D23/B$30*100</f>
        <v>-0.0162756495995319</v>
      </c>
      <c r="J23" s="16" t="n">
        <v>29629</v>
      </c>
      <c r="K23" s="16" t="n">
        <v>30345</v>
      </c>
      <c r="L23" s="14" t="n">
        <f aca="false">IF(J23&lt;1,"new",K23/J23-1)</f>
        <v>0.0241655135171623</v>
      </c>
      <c r="M23" s="14" t="n">
        <f aca="false">IF(OR(J23&lt;1,K23&lt;1,B23&lt;=0),"n/a",(C23/K23)/(B23/J23)-1)</f>
        <v>-0.0548227503507487</v>
      </c>
    </row>
    <row r="24" customFormat="false" ht="15" hidden="false" customHeight="false" outlineLevel="0" collapsed="false">
      <c r="A24" s="4" t="s">
        <v>168</v>
      </c>
      <c r="B24" s="12" t="n">
        <v>12.8127632812434</v>
      </c>
      <c r="C24" s="12" t="n">
        <v>12.2021111586002</v>
      </c>
      <c r="D24" s="10" t="n">
        <f aca="false">C24-B24</f>
        <v>-0.610652122643231</v>
      </c>
      <c r="E24" s="14" t="n">
        <f aca="false">IF(B24&lt;0.05,"new",C24/B24-1)</f>
        <v>-0.0476596741264364</v>
      </c>
      <c r="F24" s="14" t="n">
        <f aca="false">B24/B$30</f>
        <v>0.00417669276508191</v>
      </c>
      <c r="G24" s="14" t="n">
        <f aca="false">C24/C$30</f>
        <v>0.00391244208863373</v>
      </c>
      <c r="H24" s="21" t="n">
        <f aca="false">(G24-F24)*100</f>
        <v>-0.0264250676448182</v>
      </c>
      <c r="I24" s="21" t="n">
        <f aca="false">D24/B$30*100</f>
        <v>-0.0199059816110048</v>
      </c>
      <c r="J24" s="16" t="n">
        <v>6895.51612903226</v>
      </c>
      <c r="K24" s="16" t="n">
        <v>6370</v>
      </c>
      <c r="L24" s="14" t="n">
        <f aca="false">IF(J24&lt;1,"new",K24/J24-1)</f>
        <v>-0.0762112826942238</v>
      </c>
      <c r="M24" s="14" t="n">
        <f aca="false">IF(OR(J24&lt;1,K24&lt;1,B24&lt;=0),"n/a",(C24/K24)/(B24/J24)-1)</f>
        <v>0.0309070765131858</v>
      </c>
    </row>
    <row r="25" customFormat="false" ht="15" hidden="false" customHeight="false" outlineLevel="0" collapsed="false">
      <c r="A25" s="4" t="s">
        <v>169</v>
      </c>
      <c r="B25" s="12" t="n">
        <v>7.62045868017771</v>
      </c>
      <c r="C25" s="12" t="n">
        <v>7.16837132865192</v>
      </c>
      <c r="D25" s="10" t="n">
        <f aca="false">C25-B25</f>
        <v>-0.45208735152579</v>
      </c>
      <c r="E25" s="14" t="n">
        <f aca="false">IF(B25&lt;0.05,"new",C25/B25-1)</f>
        <v>-0.0593254777040858</v>
      </c>
      <c r="F25" s="14" t="n">
        <f aca="false">B25/B$30</f>
        <v>0.00248411009689825</v>
      </c>
      <c r="G25" s="14" t="n">
        <f aca="false">C25/C$30</f>
        <v>0.00229844141957402</v>
      </c>
      <c r="H25" s="21" t="n">
        <f aca="false">(G25-F25)*100</f>
        <v>-0.0185668677324222</v>
      </c>
      <c r="I25" s="21" t="n">
        <f aca="false">D25/B$30*100</f>
        <v>-0.0147371018168031</v>
      </c>
      <c r="J25" s="16" t="n">
        <v>1078116.09677419</v>
      </c>
      <c r="K25" s="16" t="n">
        <v>1104152</v>
      </c>
      <c r="L25" s="14" t="n">
        <f aca="false">IF(J25&lt;1,"new",K25/J25-1)</f>
        <v>0.0241494429994213</v>
      </c>
      <c r="M25" s="14" t="n">
        <f aca="false">IF(OR(J25&lt;1,K25&lt;1,B25&lt;=0),"n/a",(C25/K25)/(B25/J25)-1)</f>
        <v>-0.0815065821439444</v>
      </c>
    </row>
    <row r="26" customFormat="false" ht="15" hidden="false" customHeight="false" outlineLevel="0" collapsed="false">
      <c r="A26" s="4" t="s">
        <v>170</v>
      </c>
      <c r="B26" s="12" t="n">
        <v>6.04919686744056</v>
      </c>
      <c r="C26" s="12" t="n">
        <v>6.18317868700065</v>
      </c>
      <c r="D26" s="10" t="n">
        <f aca="false">C26-B26</f>
        <v>0.133981819560091</v>
      </c>
      <c r="E26" s="14" t="n">
        <f aca="false">IF(B26&lt;0.05,"new",C26/B26-1)</f>
        <v>0.022148695520432</v>
      </c>
      <c r="F26" s="14" t="n">
        <f aca="false">B26/B$30</f>
        <v>0.00197191161939138</v>
      </c>
      <c r="G26" s="14" t="n">
        <f aca="false">C26/C$30</f>
        <v>0.00198255270929195</v>
      </c>
      <c r="H26" s="21" t="n">
        <f aca="false">(G26-F26)*100</f>
        <v>0.00106410899005723</v>
      </c>
      <c r="I26" s="21" t="n">
        <f aca="false">D26/B$30*100</f>
        <v>0.00436752700511015</v>
      </c>
      <c r="J26" s="16" t="n">
        <v>2320584.16129032</v>
      </c>
      <c r="K26" s="16" t="n">
        <v>2252522</v>
      </c>
      <c r="L26" s="14" t="n">
        <f aca="false">IF(J26&lt;1,"new",K26/J26-1)</f>
        <v>-0.029329753441253</v>
      </c>
      <c r="M26" s="14" t="n">
        <f aca="false">IF(OR(J26&lt;1,K26&lt;1,B26&lt;=0),"n/a",(C26/K26)/(B26/J26)-1)</f>
        <v>0.0530339207822512</v>
      </c>
    </row>
    <row r="27" customFormat="false" ht="15" hidden="false" customHeight="false" outlineLevel="0" collapsed="false">
      <c r="A27" s="4" t="s">
        <v>171</v>
      </c>
      <c r="B27" s="12" t="n">
        <v>0</v>
      </c>
      <c r="C27" s="12" t="n">
        <v>0.497253871751566</v>
      </c>
      <c r="D27" s="10" t="n">
        <f aca="false">C27-B27</f>
        <v>0.497253871751566</v>
      </c>
      <c r="E27" s="14" t="str">
        <f aca="false">IF(B27&lt;0.05,"new",C27/B27-1)</f>
        <v>new</v>
      </c>
      <c r="F27" s="14" t="n">
        <f aca="false">B27/B$30</f>
        <v>0</v>
      </c>
      <c r="G27" s="14" t="n">
        <f aca="false">C27/C$30</f>
        <v>0.000159437735920453</v>
      </c>
      <c r="H27" s="21" t="n">
        <f aca="false">(G27-F27)*100</f>
        <v>0.0159437735920453</v>
      </c>
      <c r="I27" s="21" t="n">
        <f aca="false">D27/B$30*100</f>
        <v>0.0162094358801904</v>
      </c>
      <c r="J27" s="16" t="n">
        <v>0</v>
      </c>
      <c r="K27" s="16" t="n">
        <v>1840</v>
      </c>
      <c r="L27" s="14" t="str">
        <f aca="false">IF(J27&lt;1,"new",K27/J27-1)</f>
        <v>new</v>
      </c>
      <c r="M27" s="14" t="str">
        <f aca="false">IF(OR(J27&lt;1,K27&lt;1,B27&lt;=0),"n/a",(C27/K27)/(B27/J27)-1)</f>
        <v>n/a</v>
      </c>
    </row>
    <row r="28" customFormat="false" ht="15" hidden="false" customHeight="false" outlineLevel="0" collapsed="false">
      <c r="A28" s="4" t="s">
        <v>172</v>
      </c>
      <c r="B28" s="12" t="n">
        <v>0.442015304295191</v>
      </c>
      <c r="C28" s="12" t="n">
        <v>0.210627503489437</v>
      </c>
      <c r="D28" s="10" t="n">
        <f aca="false">C28-B28</f>
        <v>-0.231387800805754</v>
      </c>
      <c r="E28" s="14" t="n">
        <f aca="false">IF(B28&lt;0.05,"new",C28/B28-1)</f>
        <v>-0.523483686101571</v>
      </c>
      <c r="F28" s="14" t="n">
        <f aca="false">B28/B$30</f>
        <v>0.00014408774149506</v>
      </c>
      <c r="G28" s="14" t="n">
        <f aca="false">C28/C$30</f>
        <v>6.75348633498644E-005</v>
      </c>
      <c r="H28" s="21" t="n">
        <f aca="false">(G28-F28)*100</f>
        <v>-0.00765528781451958</v>
      </c>
      <c r="I28" s="21" t="n">
        <f aca="false">D28/B$30*100</f>
        <v>-0.00754275820398844</v>
      </c>
      <c r="J28" s="16" t="n">
        <v>783.903225806452</v>
      </c>
      <c r="K28" s="16" t="n">
        <v>368</v>
      </c>
      <c r="L28" s="14" t="n">
        <f aca="false">IF(J28&lt;1,"new",K28/J28-1)</f>
        <v>-0.53055429817703</v>
      </c>
      <c r="M28" s="14" t="n">
        <f aca="false">IF(OR(J28&lt;1,K28&lt;1,B28&lt;=0),"n/a",(C28/K28)/(B28/J28)-1)</f>
        <v>0.015061618517332</v>
      </c>
    </row>
    <row r="29" customFormat="false" ht="15" hidden="false" customHeight="false" outlineLevel="0" collapsed="false">
      <c r="A29" s="4" t="s">
        <v>173</v>
      </c>
      <c r="B29" s="12" t="n">
        <v>0.0403206734401264</v>
      </c>
      <c r="C29" s="12" t="n">
        <v>0.258534536720372</v>
      </c>
      <c r="D29" s="10" t="n">
        <f aca="false">C29-B29</f>
        <v>0.218213863280246</v>
      </c>
      <c r="E29" s="14" t="str">
        <f aca="false">IF(B29&lt;0.05,"new",C29/B29-1)</f>
        <v>new</v>
      </c>
      <c r="F29" s="14" t="n">
        <f aca="false">B29/B$30</f>
        <v>1.31436959650333E-005</v>
      </c>
      <c r="G29" s="14" t="n">
        <f aca="false">C29/C$30</f>
        <v>8.28956063162306E-005</v>
      </c>
      <c r="H29" s="21" t="n">
        <f aca="false">(G29-F29)*100</f>
        <v>0.00697519103511973</v>
      </c>
      <c r="I29" s="21" t="n">
        <f aca="false">D29/B$30*100</f>
        <v>0.00711331540275461</v>
      </c>
      <c r="J29" s="16" t="n">
        <v>20048.4193548387</v>
      </c>
      <c r="K29" s="16" t="n">
        <v>11282</v>
      </c>
      <c r="L29" s="14" t="n">
        <f aca="false">IF(J29&lt;1,"new",K29/J29-1)</f>
        <v>-0.43726236965025</v>
      </c>
      <c r="M29" s="14" t="n">
        <f aca="false">IF(OR(J29&lt;1,K29&lt;1,B29&lt;=0),"n/a",(C29/K29)/(B29/J29)-1)</f>
        <v>10.3942260871118</v>
      </c>
    </row>
    <row r="30" customFormat="false" ht="15" hidden="false" customHeight="false" outlineLevel="0" collapsed="false">
      <c r="A30" s="7" t="s">
        <v>83</v>
      </c>
      <c r="B30" s="13" t="n">
        <f aca="false">SUM(B6:B29)</f>
        <v>3067.68153701919</v>
      </c>
      <c r="C30" s="13" t="n">
        <f aca="false">SUM(C6:C29)</f>
        <v>3118.796619137</v>
      </c>
      <c r="D30" s="13" t="n">
        <f aca="false">SUM(D6:D29)</f>
        <v>51.1150821178099</v>
      </c>
      <c r="E30" s="19" t="n">
        <f aca="false">C30/B30-1</f>
        <v>0.0166624473567349</v>
      </c>
      <c r="I30" s="22" t="n">
        <f aca="false">SUM(I6:I29)</f>
        <v>1.66624473567349</v>
      </c>
      <c r="J30" s="23" t="n">
        <f aca="false">SUM(J6:J29)</f>
        <v>14014021.5483871</v>
      </c>
      <c r="K30" s="23" t="n">
        <f aca="false">SUM(K6:K29)</f>
        <v>13912236</v>
      </c>
      <c r="L30" s="19" t="n">
        <f aca="false">K30/J30-1</f>
        <v>-0.00726312201216861</v>
      </c>
      <c r="M30" s="19" t="n">
        <f aca="false">(C30/K30)/(B30/J30)-1</f>
        <v>0.0241006150767744</v>
      </c>
    </row>
    <row r="33" customFormat="false" ht="15" hidden="false" customHeight="false" outlineLevel="0" collapsed="false">
      <c r="A33" s="7" t="s">
        <v>174</v>
      </c>
    </row>
    <row r="34" customFormat="false" ht="39.75" hidden="false" customHeight="true" outlineLevel="0" collapsed="false">
      <c r="A34" s="3" t="s">
        <v>141</v>
      </c>
      <c r="B34" s="3" t="s">
        <v>115</v>
      </c>
      <c r="C34" s="3" t="s">
        <v>116</v>
      </c>
      <c r="D34" s="3" t="s">
        <v>117</v>
      </c>
      <c r="E34" s="3" t="s">
        <v>118</v>
      </c>
      <c r="F34" s="3" t="s">
        <v>142</v>
      </c>
      <c r="G34" s="3" t="s">
        <v>143</v>
      </c>
      <c r="H34" s="3" t="s">
        <v>144</v>
      </c>
      <c r="I34" s="3" t="s">
        <v>145</v>
      </c>
      <c r="J34" s="3" t="s">
        <v>146</v>
      </c>
      <c r="K34" s="3" t="s">
        <v>147</v>
      </c>
      <c r="L34" s="3" t="s">
        <v>148</v>
      </c>
      <c r="M34" s="3" t="s">
        <v>149</v>
      </c>
    </row>
    <row r="35" customFormat="false" ht="15" hidden="false" customHeight="false" outlineLevel="0" collapsed="false">
      <c r="A35" s="4" t="s">
        <v>150</v>
      </c>
      <c r="B35" s="12" t="n">
        <v>606.972515516074</v>
      </c>
      <c r="C35" s="12" t="n">
        <v>642.02015882401</v>
      </c>
      <c r="D35" s="10" t="n">
        <f aca="false">C35-B35</f>
        <v>35.0476433079369</v>
      </c>
      <c r="E35" s="14" t="n">
        <f aca="false">IF(B35&lt;0.05,"new",C35/B35-1)</f>
        <v>0.0577417303288239</v>
      </c>
      <c r="F35" s="14" t="n">
        <f aca="false">B35/B$60</f>
        <v>0.182956092805404</v>
      </c>
      <c r="G35" s="14" t="n">
        <f aca="false">C35/C$60</f>
        <v>0.183992074051166</v>
      </c>
      <c r="H35" s="21" t="n">
        <f aca="false">(G35-F35)*100</f>
        <v>0.103598124576212</v>
      </c>
      <c r="I35" s="21" t="n">
        <f aca="false">D35/B$60*100</f>
        <v>1.05642013727849</v>
      </c>
      <c r="J35" s="16" t="n">
        <v>1991147.32258065</v>
      </c>
      <c r="K35" s="16" t="n">
        <v>2056321</v>
      </c>
      <c r="L35" s="14" t="n">
        <f aca="false">IF(J35&lt;1,"new",K35/J35-1)</f>
        <v>0.032731720390677</v>
      </c>
      <c r="M35" s="14" t="n">
        <f aca="false">IF(OR(J35&lt;1,K35&lt;1,B35&lt;=0),"n/a",(C35/K35)/(B35/J35)-1)</f>
        <v>0.0242173349034789</v>
      </c>
    </row>
    <row r="36" customFormat="false" ht="15" hidden="false" customHeight="false" outlineLevel="0" collapsed="false">
      <c r="A36" s="4" t="s">
        <v>151</v>
      </c>
      <c r="B36" s="12" t="n">
        <v>524.981295937069</v>
      </c>
      <c r="C36" s="12" t="n">
        <v>555.924694709664</v>
      </c>
      <c r="D36" s="10" t="n">
        <f aca="false">C36-B36</f>
        <v>30.9433987725948</v>
      </c>
      <c r="E36" s="14" t="n">
        <f aca="false">IF(B36&lt;0.05,"new",C36/B36-1)</f>
        <v>0.0589419070966371</v>
      </c>
      <c r="F36" s="14" t="n">
        <f aca="false">B36/B$60</f>
        <v>0.158241970180313</v>
      </c>
      <c r="G36" s="14" t="n">
        <f aca="false">C36/C$60</f>
        <v>0.15931857620055</v>
      </c>
      <c r="H36" s="21" t="n">
        <f aca="false">(G36-F36)*100</f>
        <v>0.107660602023776</v>
      </c>
      <c r="I36" s="21" t="n">
        <f aca="false">D36/B$60*100</f>
        <v>0.932708350515679</v>
      </c>
      <c r="J36" s="16" t="n">
        <v>967070.64516129</v>
      </c>
      <c r="K36" s="16" t="n">
        <v>987959</v>
      </c>
      <c r="L36" s="14" t="n">
        <f aca="false">IF(J36&lt;1,"new",K36/J36-1)</f>
        <v>0.0215996162671506</v>
      </c>
      <c r="M36" s="14" t="n">
        <f aca="false">IF(OR(J36&lt;1,K36&lt;1,B36&lt;=0),"n/a",(C36/K36)/(B36/J36)-1)</f>
        <v>0.0365527651291924</v>
      </c>
    </row>
    <row r="37" customFormat="false" ht="15" hidden="false" customHeight="false" outlineLevel="0" collapsed="false">
      <c r="A37" s="4" t="s">
        <v>152</v>
      </c>
      <c r="B37" s="12" t="n">
        <v>517.64849605941</v>
      </c>
      <c r="C37" s="12" t="n">
        <v>532.532170441746</v>
      </c>
      <c r="D37" s="10" t="n">
        <f aca="false">C37-B37</f>
        <v>14.8836743823362</v>
      </c>
      <c r="E37" s="14" t="n">
        <f aca="false">IF(B37&lt;0.05,"new",C37/B37-1)</f>
        <v>0.0287524729534383</v>
      </c>
      <c r="F37" s="14" t="n">
        <f aca="false">B37/B$60</f>
        <v>0.156031688197775</v>
      </c>
      <c r="G37" s="14" t="n">
        <f aca="false">C37/C$60</f>
        <v>0.152614676022042</v>
      </c>
      <c r="H37" s="21" t="n">
        <f aca="false">(G37-F37)*100</f>
        <v>-0.341701217573367</v>
      </c>
      <c r="I37" s="21" t="n">
        <f aca="false">D37/B$60*100</f>
        <v>0.448629689478584</v>
      </c>
      <c r="J37" s="16" t="n">
        <v>1043808.22580645</v>
      </c>
      <c r="K37" s="16" t="n">
        <v>1056742</v>
      </c>
      <c r="L37" s="14" t="n">
        <f aca="false">IF(J37&lt;1,"new",K37/J37-1)</f>
        <v>0.0123909487143152</v>
      </c>
      <c r="M37" s="14" t="n">
        <f aca="false">IF(OR(J37&lt;1,K37&lt;1,B37&lt;=0),"n/a",(C37/K37)/(B37/J37)-1)</f>
        <v>0.0161612707619536</v>
      </c>
    </row>
    <row r="38" customFormat="false" ht="15" hidden="false" customHeight="false" outlineLevel="0" collapsed="false">
      <c r="A38" s="4" t="s">
        <v>153</v>
      </c>
      <c r="B38" s="12" t="n">
        <v>395.093450214729</v>
      </c>
      <c r="C38" s="12" t="n">
        <v>422.093925242057</v>
      </c>
      <c r="D38" s="10" t="n">
        <f aca="false">C38-B38</f>
        <v>27.0004750273279</v>
      </c>
      <c r="E38" s="14" t="n">
        <f aca="false">IF(B38&lt;0.05,"new",C38/B38-1)</f>
        <v>0.0683394650370779</v>
      </c>
      <c r="F38" s="14" t="n">
        <f aca="false">B38/B$60</f>
        <v>0.119090654183631</v>
      </c>
      <c r="G38" s="14" t="n">
        <f aca="false">C38/C$60</f>
        <v>0.120964950527313</v>
      </c>
      <c r="H38" s="21" t="n">
        <f aca="false">(G38-F38)*100</f>
        <v>0.187429634368191</v>
      </c>
      <c r="I38" s="21" t="n">
        <f aca="false">D38/B$60*100</f>
        <v>0.813859159782498</v>
      </c>
      <c r="J38" s="16" t="n">
        <v>3512210.74193548</v>
      </c>
      <c r="K38" s="16" t="n">
        <v>3413253</v>
      </c>
      <c r="L38" s="14" t="n">
        <f aca="false">IF(J38&lt;1,"new",K38/J38-1)</f>
        <v>-0.0281753428841662</v>
      </c>
      <c r="M38" s="14" t="n">
        <f aca="false">IF(OR(J38&lt;1,K38&lt;1,B38&lt;=0),"n/a",(C38/K38)/(B38/J38)-1)</f>
        <v>0.0993129853359343</v>
      </c>
    </row>
    <row r="39" customFormat="false" ht="15" hidden="false" customHeight="false" outlineLevel="0" collapsed="false">
      <c r="A39" s="4" t="s">
        <v>154</v>
      </c>
      <c r="B39" s="12" t="n">
        <v>265.369029778278</v>
      </c>
      <c r="C39" s="12" t="n">
        <v>277.625966120363</v>
      </c>
      <c r="D39" s="10" t="n">
        <f aca="false">C39-B39</f>
        <v>12.2569363420842</v>
      </c>
      <c r="E39" s="14" t="n">
        <f aca="false">IF(B39&lt;0.05,"new",C39/B39-1)</f>
        <v>0.0461882697929188</v>
      </c>
      <c r="F39" s="14" t="n">
        <f aca="false">B39/B$60</f>
        <v>0.0799885984928243</v>
      </c>
      <c r="G39" s="14" t="n">
        <f aca="false">C39/C$60</f>
        <v>0.0795628869512594</v>
      </c>
      <c r="H39" s="21" t="n">
        <f aca="false">(G39-F39)*100</f>
        <v>-0.0425711541564913</v>
      </c>
      <c r="I39" s="21" t="n">
        <f aca="false">D39/B$60*100</f>
        <v>0.369453496754402</v>
      </c>
      <c r="J39" s="16" t="n">
        <v>844938.741935484</v>
      </c>
      <c r="K39" s="16" t="n">
        <v>882157</v>
      </c>
      <c r="L39" s="14" t="n">
        <f aca="false">IF(J39&lt;1,"new",K39/J39-1)</f>
        <v>0.0440484690987906</v>
      </c>
      <c r="M39" s="14" t="n">
        <f aca="false">IF(OR(J39&lt;1,K39&lt;1,B39&lt;=0),"n/a",(C39/K39)/(B39/J39)-1)</f>
        <v>0.00204952237128908</v>
      </c>
    </row>
    <row r="40" customFormat="false" ht="15" hidden="false" customHeight="false" outlineLevel="0" collapsed="false">
      <c r="A40" s="4" t="s">
        <v>155</v>
      </c>
      <c r="B40" s="12" t="n">
        <v>195.882637082652</v>
      </c>
      <c r="C40" s="12" t="n">
        <v>190.244997907338</v>
      </c>
      <c r="D40" s="10" t="n">
        <f aca="false">C40-B40</f>
        <v>-5.63763917531441</v>
      </c>
      <c r="E40" s="14" t="n">
        <f aca="false">IF(B40&lt;0.05,"new",C40/B40-1)</f>
        <v>-0.0287806987861594</v>
      </c>
      <c r="F40" s="14" t="n">
        <f aca="false">B40/B$60</f>
        <v>0.0590437309975892</v>
      </c>
      <c r="G40" s="14" t="n">
        <f aca="false">C40/C$60</f>
        <v>0.0545209854577573</v>
      </c>
      <c r="H40" s="21" t="n">
        <f aca="false">(G40-F40)*100</f>
        <v>-0.452274553983186</v>
      </c>
      <c r="I40" s="21" t="n">
        <f aca="false">D40/B$60*100</f>
        <v>-0.169931983705264</v>
      </c>
      <c r="J40" s="16" t="n">
        <v>810415.387096774</v>
      </c>
      <c r="K40" s="16" t="n">
        <v>781066</v>
      </c>
      <c r="L40" s="14" t="n">
        <f aca="false">IF(J40&lt;1,"new",K40/J40-1)</f>
        <v>-0.0362152392021026</v>
      </c>
      <c r="M40" s="14" t="n">
        <f aca="false">IF(OR(J40&lt;1,K40&lt;1,B40&lt;=0),"n/a",(C40/K40)/(B40/J40)-1)</f>
        <v>0.00771390119282245</v>
      </c>
    </row>
    <row r="41" customFormat="false" ht="15" hidden="false" customHeight="false" outlineLevel="0" collapsed="false">
      <c r="A41" s="4" t="s">
        <v>156</v>
      </c>
      <c r="B41" s="12" t="n">
        <v>136.182021604801</v>
      </c>
      <c r="C41" s="12" t="n">
        <v>139.55374684392</v>
      </c>
      <c r="D41" s="10" t="n">
        <f aca="false">C41-B41</f>
        <v>3.37172523911951</v>
      </c>
      <c r="E41" s="14" t="n">
        <f aca="false">IF(B41&lt;0.05,"new",C41/B41-1)</f>
        <v>0.0247589600990374</v>
      </c>
      <c r="F41" s="14" t="n">
        <f aca="false">B41/B$60</f>
        <v>0.0410485317641959</v>
      </c>
      <c r="G41" s="14" t="n">
        <f aca="false">C41/C$60</f>
        <v>0.0399937337956124</v>
      </c>
      <c r="H41" s="21" t="n">
        <f aca="false">(G41-F41)*100</f>
        <v>-0.105479796858354</v>
      </c>
      <c r="I41" s="21" t="n">
        <f aca="false">D41/B$60*100</f>
        <v>0.10163189600738</v>
      </c>
      <c r="J41" s="16" t="n">
        <v>260356.903225807</v>
      </c>
      <c r="K41" s="16" t="n">
        <v>278120</v>
      </c>
      <c r="L41" s="14" t="n">
        <f aca="false">IF(J41&lt;1,"new",K41/J41-1)</f>
        <v>0.0682259488959569</v>
      </c>
      <c r="M41" s="14" t="n">
        <f aca="false">IF(OR(J41&lt;1,K41&lt;1,B41&lt;=0),"n/a",(C41/K41)/(B41/J41)-1)</f>
        <v>-0.040690819055504</v>
      </c>
    </row>
    <row r="42" customFormat="false" ht="15" hidden="false" customHeight="false" outlineLevel="0" collapsed="false">
      <c r="A42" s="4" t="s">
        <v>157</v>
      </c>
      <c r="B42" s="12" t="n">
        <v>141.563551075844</v>
      </c>
      <c r="C42" s="12" t="n">
        <v>134.244964468204</v>
      </c>
      <c r="D42" s="10" t="n">
        <f aca="false">C42-B42</f>
        <v>-7.31858660763979</v>
      </c>
      <c r="E42" s="14" t="n">
        <f aca="false">IF(B42&lt;0.05,"new",C42/B42-1)</f>
        <v>-0.0516982411928817</v>
      </c>
      <c r="F42" s="14" t="n">
        <f aca="false">B42/B$60</f>
        <v>0.042670653985829</v>
      </c>
      <c r="G42" s="14" t="n">
        <f aca="false">C42/C$60</f>
        <v>0.0384723269261093</v>
      </c>
      <c r="H42" s="21" t="n">
        <f aca="false">(G42-F42)*100</f>
        <v>-0.419832705971974</v>
      </c>
      <c r="I42" s="21" t="n">
        <f aca="false">D42/B$60*100</f>
        <v>-0.220599776161739</v>
      </c>
      <c r="J42" s="16" t="n">
        <v>563281.290322581</v>
      </c>
      <c r="K42" s="16" t="n">
        <v>542139</v>
      </c>
      <c r="L42" s="14" t="n">
        <f aca="false">IF(J42&lt;1,"new",K42/J42-1)</f>
        <v>-0.0375341604378033</v>
      </c>
      <c r="M42" s="14" t="n">
        <f aca="false">IF(OR(J42&lt;1,K42&lt;1,B42&lt;=0),"n/a",(C42/K42)/(B42/J42)-1)</f>
        <v>-0.0147164503641203</v>
      </c>
    </row>
    <row r="43" customFormat="false" ht="15" hidden="false" customHeight="false" outlineLevel="0" collapsed="false">
      <c r="A43" s="4" t="s">
        <v>158</v>
      </c>
      <c r="B43" s="12" t="n">
        <v>94.6810078520155</v>
      </c>
      <c r="C43" s="12" t="n">
        <v>107.342809722918</v>
      </c>
      <c r="D43" s="10" t="n">
        <f aca="false">C43-B43</f>
        <v>12.6618018709023</v>
      </c>
      <c r="E43" s="14" t="n">
        <f aca="false">IF(B43&lt;0.05,"new",C43/B43-1)</f>
        <v>0.133731169092459</v>
      </c>
      <c r="F43" s="14" t="n">
        <f aca="false">B43/B$60</f>
        <v>0.0285391295596873</v>
      </c>
      <c r="G43" s="14" t="n">
        <f aca="false">C43/C$60</f>
        <v>0.0307626262570569</v>
      </c>
      <c r="H43" s="21" t="n">
        <f aca="false">(G43-F43)*100</f>
        <v>0.222349669736957</v>
      </c>
      <c r="I43" s="21" t="n">
        <f aca="false">D43/B$60*100</f>
        <v>0.381657116089814</v>
      </c>
      <c r="J43" s="16" t="n">
        <v>119687.580645161</v>
      </c>
      <c r="K43" s="16" t="n">
        <v>143186</v>
      </c>
      <c r="L43" s="14" t="n">
        <f aca="false">IF(J43&lt;1,"new",K43/J43-1)</f>
        <v>0.196331308797231</v>
      </c>
      <c r="M43" s="14" t="n">
        <f aca="false">IF(OR(J43&lt;1,K43&lt;1,B43&lt;=0),"n/a",(C43/K43)/(B43/J43)-1)</f>
        <v>-0.0523267586866966</v>
      </c>
    </row>
    <row r="44" customFormat="false" ht="15" hidden="false" customHeight="false" outlineLevel="0" collapsed="false">
      <c r="A44" s="4" t="s">
        <v>159</v>
      </c>
      <c r="B44" s="12" t="n">
        <v>77.1157311965824</v>
      </c>
      <c r="C44" s="12" t="n">
        <v>84.0166958665159</v>
      </c>
      <c r="D44" s="10" t="n">
        <f aca="false">C44-B44</f>
        <v>6.90096466993354</v>
      </c>
      <c r="E44" s="14" t="n">
        <f aca="false">IF(B44&lt;0.05,"new",C44/B44-1)</f>
        <v>0.0894884164729204</v>
      </c>
      <c r="F44" s="14" t="n">
        <f aca="false">B44/B$60</f>
        <v>0.023244533340299</v>
      </c>
      <c r="G44" s="14" t="n">
        <f aca="false">C44/C$60</f>
        <v>0.0240777581746366</v>
      </c>
      <c r="H44" s="21" t="n">
        <f aca="false">(G44-F44)*100</f>
        <v>0.0833224834337606</v>
      </c>
      <c r="I44" s="21" t="n">
        <f aca="false">D44/B$60*100</f>
        <v>0.208011648027536</v>
      </c>
      <c r="J44" s="16" t="n">
        <v>302465.548387097</v>
      </c>
      <c r="K44" s="16" t="n">
        <v>351836</v>
      </c>
      <c r="L44" s="14" t="n">
        <f aca="false">IF(J44&lt;1,"new",K44/J44-1)</f>
        <v>0.163226694333196</v>
      </c>
      <c r="M44" s="14" t="n">
        <f aca="false">IF(OR(J44&lt;1,K44&lt;1,B44&lt;=0),"n/a",(C44/K44)/(B44/J44)-1)</f>
        <v>-0.0633911499963861</v>
      </c>
    </row>
    <row r="45" customFormat="false" ht="15" hidden="false" customHeight="false" outlineLevel="0" collapsed="false">
      <c r="A45" s="4" t="s">
        <v>161</v>
      </c>
      <c r="B45" s="12" t="n">
        <v>69.1244307379513</v>
      </c>
      <c r="C45" s="12" t="n">
        <v>77.2233353459496</v>
      </c>
      <c r="D45" s="10" t="n">
        <f aca="false">C45-B45</f>
        <v>8.09890460799824</v>
      </c>
      <c r="E45" s="14" t="n">
        <f aca="false">IF(B45&lt;0.05,"new",C45/B45-1)</f>
        <v>0.117164141845897</v>
      </c>
      <c r="F45" s="14" t="n">
        <f aca="false">B45/B$60</f>
        <v>0.0208357634685659</v>
      </c>
      <c r="G45" s="14" t="n">
        <f aca="false">C45/C$60</f>
        <v>0.0221308964215013</v>
      </c>
      <c r="H45" s="21" t="n">
        <f aca="false">(G45-F45)*100</f>
        <v>0.129513295293541</v>
      </c>
      <c r="I45" s="21" t="n">
        <f aca="false">D45/B$60*100</f>
        <v>0.244120434649862</v>
      </c>
      <c r="J45" s="16" t="n">
        <v>159005.096774194</v>
      </c>
      <c r="K45" s="16" t="n">
        <v>163775</v>
      </c>
      <c r="L45" s="14" t="n">
        <f aca="false">IF(J45&lt;1,"new",K45/J45-1)</f>
        <v>0.0299984297521001</v>
      </c>
      <c r="M45" s="14" t="n">
        <f aca="false">IF(OR(J45&lt;1,K45&lt;1,B45&lt;=0),"n/a",(C45/K45)/(B45/J45)-1)</f>
        <v>0.0846270339604074</v>
      </c>
    </row>
    <row r="46" customFormat="false" ht="15" hidden="false" customHeight="false" outlineLevel="0" collapsed="false">
      <c r="A46" s="4" t="s">
        <v>160</v>
      </c>
      <c r="B46" s="12" t="n">
        <v>70.6632616394466</v>
      </c>
      <c r="C46" s="12" t="n">
        <v>76.1142954788412</v>
      </c>
      <c r="D46" s="10" t="n">
        <f aca="false">C46-B46</f>
        <v>5.45103383939461</v>
      </c>
      <c r="E46" s="14" t="n">
        <f aca="false">IF(B46&lt;0.05,"new",C46/B46-1)</f>
        <v>0.0771409883003711</v>
      </c>
      <c r="F46" s="14" t="n">
        <f aca="false">B46/B$60</f>
        <v>0.0212996040577669</v>
      </c>
      <c r="G46" s="14" t="n">
        <f aca="false">C46/C$60</f>
        <v>0.0218130644304803</v>
      </c>
      <c r="H46" s="21" t="n">
        <f aca="false">(G46-F46)*100</f>
        <v>0.051346037271334</v>
      </c>
      <c r="I46" s="21" t="n">
        <f aca="false">D46/B$60*100</f>
        <v>0.164307250742273</v>
      </c>
      <c r="J46" s="16" t="n">
        <v>107746.838709677</v>
      </c>
      <c r="K46" s="16" t="n">
        <v>114844</v>
      </c>
      <c r="L46" s="14" t="n">
        <f aca="false">IF(J46&lt;1,"new",K46/J46-1)</f>
        <v>0.0658688586627199</v>
      </c>
      <c r="M46" s="14" t="n">
        <f aca="false">IF(OR(J46&lt;1,K46&lt;1,B46&lt;=0),"n/a",(C46/K46)/(B46/J46)-1)</f>
        <v>0.0105755314512086</v>
      </c>
    </row>
    <row r="47" customFormat="false" ht="15" hidden="false" customHeight="false" outlineLevel="0" collapsed="false">
      <c r="A47" s="4" t="s">
        <v>162</v>
      </c>
      <c r="B47" s="12" t="n">
        <v>68.8661348023723</v>
      </c>
      <c r="C47" s="12" t="n">
        <v>72.766181386426</v>
      </c>
      <c r="D47" s="10" t="n">
        <f aca="false">C47-B47</f>
        <v>3.90004658405368</v>
      </c>
      <c r="E47" s="14" t="n">
        <f aca="false">IF(B47&lt;0.05,"new",C47/B47-1)</f>
        <v>0.0566322851608529</v>
      </c>
      <c r="F47" s="14" t="n">
        <f aca="false">B47/B$60</f>
        <v>0.0207579068705272</v>
      </c>
      <c r="G47" s="14" t="n">
        <f aca="false">C47/C$60</f>
        <v>0.0208535517928214</v>
      </c>
      <c r="H47" s="21" t="n">
        <f aca="false">(G47-F47)*100</f>
        <v>0.00956449222941115</v>
      </c>
      <c r="I47" s="21" t="n">
        <f aca="false">D47/B$60*100</f>
        <v>0.117556770123413</v>
      </c>
      <c r="J47" s="16" t="n">
        <v>245056.806451613</v>
      </c>
      <c r="K47" s="16" t="n">
        <v>260938</v>
      </c>
      <c r="L47" s="14" t="n">
        <f aca="false">IF(J47&lt;1,"new",K47/J47-1)</f>
        <v>0.0648061719988295</v>
      </c>
      <c r="M47" s="14" t="n">
        <f aca="false">IF(OR(J47&lt;1,K47&lt;1,B47&lt;=0),"n/a",(C47/K47)/(B47/J47)-1)</f>
        <v>-0.00767640820735727</v>
      </c>
    </row>
    <row r="48" customFormat="false" ht="15" hidden="false" customHeight="false" outlineLevel="0" collapsed="false">
      <c r="A48" s="4" t="s">
        <v>163</v>
      </c>
      <c r="B48" s="12" t="n">
        <v>32.4868848144844</v>
      </c>
      <c r="C48" s="12" t="n">
        <v>40.0467287140447</v>
      </c>
      <c r="D48" s="10" t="n">
        <f aca="false">C48-B48</f>
        <v>7.55984389956037</v>
      </c>
      <c r="E48" s="14" t="n">
        <f aca="false">IF(B48&lt;0.05,"new",C48/B48-1)</f>
        <v>0.232704488064359</v>
      </c>
      <c r="F48" s="14" t="n">
        <f aca="false">B48/B$60</f>
        <v>0.00979232726546723</v>
      </c>
      <c r="G48" s="14" t="n">
        <f aca="false">C48/C$60</f>
        <v>0.0114767123333915</v>
      </c>
      <c r="H48" s="21" t="n">
        <f aca="false">(G48-F48)*100</f>
        <v>0.168438506792427</v>
      </c>
      <c r="I48" s="21" t="n">
        <f aca="false">D48/B$60*100</f>
        <v>0.227871850326921</v>
      </c>
      <c r="J48" s="16" t="n">
        <v>145240.322580645</v>
      </c>
      <c r="K48" s="16" t="n">
        <v>139371</v>
      </c>
      <c r="L48" s="14" t="n">
        <f aca="false">IF(J48&lt;1,"new",K48/J48-1)</f>
        <v>-0.0404111095070465</v>
      </c>
      <c r="M48" s="14" t="n">
        <f aca="false">IF(OR(J48&lt;1,K48&lt;1,B48&lt;=0),"n/a",(C48/K48)/(B48/J48)-1)</f>
        <v>0.284617298384001</v>
      </c>
    </row>
    <row r="49" customFormat="false" ht="15" hidden="false" customHeight="false" outlineLevel="0" collapsed="false">
      <c r="A49" s="4" t="s">
        <v>164</v>
      </c>
      <c r="B49" s="12" t="n">
        <v>24.4730795321477</v>
      </c>
      <c r="C49" s="12" t="n">
        <v>38.127192916619</v>
      </c>
      <c r="D49" s="10" t="n">
        <f aca="false">C49-B49</f>
        <v>13.6541133844714</v>
      </c>
      <c r="E49" s="14" t="n">
        <f aca="false">IF(B49&lt;0.05,"new",C49/B49-1)</f>
        <v>0.55792379404216</v>
      </c>
      <c r="F49" s="14" t="n">
        <f aca="false">B49/B$60</f>
        <v>0.00737677389940909</v>
      </c>
      <c r="G49" s="14" t="n">
        <f aca="false">C49/C$60</f>
        <v>0.0109266059734437</v>
      </c>
      <c r="H49" s="21" t="n">
        <f aca="false">(G49-F49)*100</f>
        <v>0.354983207403456</v>
      </c>
      <c r="I49" s="21" t="n">
        <f aca="false">D49/B$60*100</f>
        <v>0.41156776817495</v>
      </c>
      <c r="J49" s="16" t="n">
        <v>56495.1612903226</v>
      </c>
      <c r="K49" s="16" t="n">
        <v>108168</v>
      </c>
      <c r="L49" s="14" t="n">
        <f aca="false">IF(J49&lt;1,"new",K49/J49-1)</f>
        <v>0.914641847717475</v>
      </c>
      <c r="M49" s="14" t="n">
        <f aca="false">IF(OR(J49&lt;1,K49&lt;1,B49&lt;=0),"n/a",(C49/K49)/(B49/J49)-1)</f>
        <v>-0.186310590725139</v>
      </c>
    </row>
    <row r="50" customFormat="false" ht="15" hidden="false" customHeight="false" outlineLevel="0" collapsed="false">
      <c r="A50" s="4" t="s">
        <v>165</v>
      </c>
      <c r="B50" s="12" t="n">
        <v>40.2272759849438</v>
      </c>
      <c r="C50" s="12" t="n">
        <v>36.9588995334318</v>
      </c>
      <c r="D50" s="10" t="n">
        <f aca="false">C50-B50</f>
        <v>-3.26837645151203</v>
      </c>
      <c r="E50" s="14" t="n">
        <f aca="false">IF(B50&lt;0.05,"new",C50/B50-1)</f>
        <v>-0.0812477696162006</v>
      </c>
      <c r="F50" s="14" t="n">
        <f aca="false">B50/B$60</f>
        <v>0.0121254670520828</v>
      </c>
      <c r="G50" s="14" t="n">
        <f aca="false">C50/C$60</f>
        <v>0.0105917929310205</v>
      </c>
      <c r="H50" s="21" t="n">
        <f aca="false">(G50-F50)*100</f>
        <v>-0.153367412106236</v>
      </c>
      <c r="I50" s="21" t="n">
        <f aca="false">D50/B$60*100</f>
        <v>-0.0985167153536458</v>
      </c>
      <c r="J50" s="16" t="n">
        <v>194535.483870968</v>
      </c>
      <c r="K50" s="16" t="n">
        <v>181800</v>
      </c>
      <c r="L50" s="14" t="n">
        <f aca="false">IF(J50&lt;1,"new",K50/J50-1)</f>
        <v>-0.0654661227738536</v>
      </c>
      <c r="M50" s="14" t="n">
        <f aca="false">IF(OR(J50&lt;1,K50&lt;1,B50&lt;=0),"n/a",(C50/K50)/(B50/J50)-1)</f>
        <v>-0.0168871853947014</v>
      </c>
    </row>
    <row r="51" customFormat="false" ht="15" hidden="false" customHeight="false" outlineLevel="0" collapsed="false">
      <c r="A51" s="4" t="s">
        <v>166</v>
      </c>
      <c r="B51" s="12" t="n">
        <v>12.2317266046014</v>
      </c>
      <c r="C51" s="12" t="n">
        <v>17.0331510801366</v>
      </c>
      <c r="D51" s="10" t="n">
        <f aca="false">C51-B51</f>
        <v>4.80142447553512</v>
      </c>
      <c r="E51" s="14" t="n">
        <f aca="false">IF(B51&lt;0.05,"new",C51/B51-1)</f>
        <v>0.392538570452423</v>
      </c>
      <c r="F51" s="14" t="n">
        <f aca="false">B51/B$60</f>
        <v>0.00368693614724723</v>
      </c>
      <c r="G51" s="14" t="n">
        <f aca="false">C51/C$60</f>
        <v>0.00488141182451604</v>
      </c>
      <c r="H51" s="21" t="n">
        <f aca="false">(G51-F51)*100</f>
        <v>0.119447567726881</v>
      </c>
      <c r="I51" s="21" t="n">
        <f aca="false">D51/B$60*100</f>
        <v>0.144726464458979</v>
      </c>
      <c r="J51" s="16" t="n">
        <v>93714.8709677419</v>
      </c>
      <c r="K51" s="16" t="n">
        <v>244535</v>
      </c>
      <c r="L51" s="14" t="n">
        <f aca="false">IF(J51&lt;1,"new",K51/J51-1)</f>
        <v>1.60935108243571</v>
      </c>
      <c r="M51" s="14" t="n">
        <f aca="false">IF(OR(J51&lt;1,K51&lt;1,B51&lt;=0),"n/a",(C51/K51)/(B51/J51)-1)</f>
        <v>-0.466327632250792</v>
      </c>
    </row>
    <row r="52" customFormat="false" ht="15" hidden="false" customHeight="false" outlineLevel="0" collapsed="false">
      <c r="A52" s="4" t="s">
        <v>167</v>
      </c>
      <c r="B52" s="12" t="n">
        <v>16.1110561870299</v>
      </c>
      <c r="C52" s="12" t="n">
        <v>16.5177859479097</v>
      </c>
      <c r="D52" s="10" t="n">
        <f aca="false">C52-B52</f>
        <v>0.406729760879717</v>
      </c>
      <c r="E52" s="14" t="n">
        <f aca="false">IF(B52&lt;0.05,"new",C52/B52-1)</f>
        <v>0.0252453815664271</v>
      </c>
      <c r="F52" s="14" t="n">
        <f aca="false">B52/B$60</f>
        <v>0.00485625924666646</v>
      </c>
      <c r="G52" s="14" t="n">
        <f aca="false">C52/C$60</f>
        <v>0.00473371693009751</v>
      </c>
      <c r="H52" s="21" t="n">
        <f aca="false">(G52-F52)*100</f>
        <v>-0.0122542316568951</v>
      </c>
      <c r="I52" s="21" t="n">
        <f aca="false">D52/B$60*100</f>
        <v>0.0122598117667585</v>
      </c>
      <c r="J52" s="16" t="n">
        <v>30820</v>
      </c>
      <c r="K52" s="16" t="n">
        <v>33142</v>
      </c>
      <c r="L52" s="14" t="n">
        <f aca="false">IF(J52&lt;1,"new",K52/J52-1)</f>
        <v>0.0753406878650227</v>
      </c>
      <c r="M52" s="14" t="n">
        <f aca="false">IF(OR(J52&lt;1,K52&lt;1,B52&lt;=0),"n/a",(C52/K52)/(B52/J52)-1)</f>
        <v>-0.0465855210947654</v>
      </c>
    </row>
    <row r="53" customFormat="false" ht="15" hidden="false" customHeight="false" outlineLevel="0" collapsed="false">
      <c r="A53" s="4" t="s">
        <v>168</v>
      </c>
      <c r="B53" s="12" t="n">
        <v>12.9274056837216</v>
      </c>
      <c r="C53" s="12" t="n">
        <v>13.0520700891147</v>
      </c>
      <c r="D53" s="10" t="n">
        <f aca="false">C53-B53</f>
        <v>0.1246644053931</v>
      </c>
      <c r="E53" s="14" t="n">
        <f aca="false">IF(B53&lt;0.05,"new",C53/B53-1)</f>
        <v>0.00964342022236364</v>
      </c>
      <c r="F53" s="14" t="n">
        <f aca="false">B53/B$60</f>
        <v>0.0038966305286379</v>
      </c>
      <c r="G53" s="14" t="n">
        <f aca="false">C53/C$60</f>
        <v>0.00374050162343218</v>
      </c>
      <c r="H53" s="21" t="n">
        <f aca="false">(G53-F53)*100</f>
        <v>-0.0156128905205717</v>
      </c>
      <c r="I53" s="21" t="n">
        <f aca="false">D53/B$60*100</f>
        <v>0.00375768456389464</v>
      </c>
      <c r="J53" s="16" t="n">
        <v>6958.48387096774</v>
      </c>
      <c r="K53" s="16" t="n">
        <v>6828</v>
      </c>
      <c r="L53" s="14" t="n">
        <f aca="false">IF(J53&lt;1,"new",K53/J53-1)</f>
        <v>-0.0187517673946401</v>
      </c>
      <c r="M53" s="14" t="n">
        <f aca="false">IF(OR(J53&lt;1,K53&lt;1,B53&lt;=0),"n/a",(C53/K53)/(B53/J53)-1)</f>
        <v>0.0289378229417141</v>
      </c>
    </row>
    <row r="54" customFormat="false" ht="15" hidden="false" customHeight="false" outlineLevel="0" collapsed="false">
      <c r="A54" s="4" t="s">
        <v>169</v>
      </c>
      <c r="B54" s="12" t="n">
        <v>8.2068783160446</v>
      </c>
      <c r="C54" s="12" t="n">
        <v>7.99788736646989</v>
      </c>
      <c r="D54" s="10" t="n">
        <f aca="false">C54-B54</f>
        <v>-0.208990949574717</v>
      </c>
      <c r="E54" s="14" t="n">
        <f aca="false">IF(B54&lt;0.05,"new",C54/B54-1)</f>
        <v>-0.025465340355557</v>
      </c>
      <c r="F54" s="14" t="n">
        <f aca="false">B54/B$60</f>
        <v>0.00247375021512511</v>
      </c>
      <c r="G54" s="14" t="n">
        <f aca="false">C54/C$60</f>
        <v>0.00229205869061783</v>
      </c>
      <c r="H54" s="21" t="n">
        <f aca="false">(G54-F54)*100</f>
        <v>-0.0181691524507276</v>
      </c>
      <c r="I54" s="21" t="n">
        <f aca="false">D54/B$60*100</f>
        <v>-0.00629948911827934</v>
      </c>
      <c r="J54" s="16" t="n">
        <v>1167583.87096774</v>
      </c>
      <c r="K54" s="16" t="n">
        <v>1239090</v>
      </c>
      <c r="L54" s="14" t="n">
        <f aca="false">IF(J54&lt;1,"new",K54/J54-1)</f>
        <v>0.0612428201607398</v>
      </c>
      <c r="M54" s="14" t="n">
        <f aca="false">IF(OR(J54&lt;1,K54&lt;1,B54&lt;=0),"n/a",(C54/K54)/(B54/J54)-1)</f>
        <v>-0.0817043553737906</v>
      </c>
    </row>
    <row r="55" customFormat="false" ht="15" hidden="false" customHeight="false" outlineLevel="0" collapsed="false">
      <c r="A55" s="4" t="s">
        <v>170</v>
      </c>
      <c r="B55" s="12" t="n">
        <v>6.29217208351111</v>
      </c>
      <c r="C55" s="12" t="n">
        <v>6.73177145464897</v>
      </c>
      <c r="D55" s="10" t="n">
        <f aca="false">C55-B55</f>
        <v>0.439599371137855</v>
      </c>
      <c r="E55" s="14" t="n">
        <f aca="false">IF(B55&lt;0.05,"new",C55/B55-1)</f>
        <v>0.0698644864290732</v>
      </c>
      <c r="F55" s="14" t="n">
        <f aca="false">B55/B$60</f>
        <v>0.00189661177438923</v>
      </c>
      <c r="G55" s="14" t="n">
        <f aca="false">C55/C$60</f>
        <v>0.00192921137281426</v>
      </c>
      <c r="H55" s="21" t="n">
        <f aca="false">(G55-F55)*100</f>
        <v>0.00325995984250364</v>
      </c>
      <c r="I55" s="21" t="n">
        <f aca="false">D55/B$60*100</f>
        <v>0.0132505807573037</v>
      </c>
      <c r="J55" s="16" t="n">
        <v>2410856.51612903</v>
      </c>
      <c r="K55" s="16" t="n">
        <v>2428772</v>
      </c>
      <c r="L55" s="14" t="n">
        <f aca="false">IF(J55&lt;1,"new",K55/J55-1)</f>
        <v>0.00743116969056867</v>
      </c>
      <c r="M55" s="14" t="n">
        <f aca="false">IF(OR(J55&lt;1,K55&lt;1,B55&lt;=0),"n/a",(C55/K55)/(B55/J55)-1)</f>
        <v>0.061972786446225</v>
      </c>
    </row>
    <row r="56" customFormat="false" ht="15" hidden="false" customHeight="false" outlineLevel="0" collapsed="false">
      <c r="A56" s="4" t="s">
        <v>171</v>
      </c>
      <c r="B56" s="12" t="n">
        <v>0</v>
      </c>
      <c r="C56" s="12" t="n">
        <v>0.546470899221748</v>
      </c>
      <c r="D56" s="10" t="n">
        <f aca="false">C56-B56</f>
        <v>0.546470899221748</v>
      </c>
      <c r="E56" s="14" t="str">
        <f aca="false">IF(B56&lt;0.05,"new",C56/B56-1)</f>
        <v>new</v>
      </c>
      <c r="F56" s="14" t="n">
        <f aca="false">B56/B$60</f>
        <v>0</v>
      </c>
      <c r="G56" s="14" t="n">
        <f aca="false">C56/C$60</f>
        <v>0.000156609278968103</v>
      </c>
      <c r="H56" s="21" t="n">
        <f aca="false">(G56-F56)*100</f>
        <v>0.0156609278968103</v>
      </c>
      <c r="I56" s="21" t="n">
        <f aca="false">D56/B$60*100</f>
        <v>0.0164719452689649</v>
      </c>
      <c r="J56" s="16" t="n">
        <v>0</v>
      </c>
      <c r="K56" s="16" t="n">
        <v>1987</v>
      </c>
      <c r="L56" s="14" t="str">
        <f aca="false">IF(J56&lt;1,"new",K56/J56-1)</f>
        <v>new</v>
      </c>
      <c r="M56" s="14" t="str">
        <f aca="false">IF(OR(J56&lt;1,K56&lt;1,B56&lt;=0),"n/a",(C56/K56)/(B56/J56)-1)</f>
        <v>n/a</v>
      </c>
    </row>
    <row r="57" customFormat="false" ht="15" hidden="false" customHeight="false" outlineLevel="0" collapsed="false">
      <c r="A57" s="4" t="s">
        <v>175</v>
      </c>
      <c r="B57" s="12" t="n">
        <v>0</v>
      </c>
      <c r="C57" s="12" t="n">
        <v>0.384565288457017</v>
      </c>
      <c r="D57" s="10" t="n">
        <f aca="false">C57-B57</f>
        <v>0.384565288457017</v>
      </c>
      <c r="E57" s="14" t="str">
        <f aca="false">IF(B57&lt;0.05,"new",C57/B57-1)</f>
        <v>new</v>
      </c>
      <c r="F57" s="14" t="n">
        <f aca="false">B57/B$60</f>
        <v>0</v>
      </c>
      <c r="G57" s="14" t="n">
        <f aca="false">C57/C$60</f>
        <v>0.000110209880575864</v>
      </c>
      <c r="H57" s="21" t="n">
        <f aca="false">(G57-F57)*100</f>
        <v>0.0110209880575864</v>
      </c>
      <c r="I57" s="21" t="n">
        <f aca="false">D57/B$60*100</f>
        <v>0.0115917213392862</v>
      </c>
      <c r="J57" s="16" t="n">
        <v>0</v>
      </c>
      <c r="K57" s="16" t="n">
        <v>1253</v>
      </c>
      <c r="L57" s="14" t="str">
        <f aca="false">IF(J57&lt;1,"new",K57/J57-1)</f>
        <v>new</v>
      </c>
      <c r="M57" s="14" t="str">
        <f aca="false">IF(OR(J57&lt;1,K57&lt;1,B57&lt;=0),"n/a",(C57/K57)/(B57/J57)-1)</f>
        <v>n/a</v>
      </c>
    </row>
    <row r="58" customFormat="false" ht="15" hidden="false" customHeight="false" outlineLevel="0" collapsed="false">
      <c r="A58" s="4" t="s">
        <v>172</v>
      </c>
      <c r="B58" s="12" t="n">
        <v>0.444524915843239</v>
      </c>
      <c r="C58" s="12" t="n">
        <v>0.248809373375129</v>
      </c>
      <c r="D58" s="10" t="n">
        <f aca="false">C58-B58</f>
        <v>-0.195715542468111</v>
      </c>
      <c r="E58" s="14" t="n">
        <f aca="false">IF(B58&lt;0.05,"new",C58/B58-1)</f>
        <v>-0.440280253125629</v>
      </c>
      <c r="F58" s="14" t="n">
        <f aca="false">B58/B$60</f>
        <v>0.000133990485035688</v>
      </c>
      <c r="G58" s="14" t="n">
        <f aca="false">C58/C$60</f>
        <v>7.13045408644402E-005</v>
      </c>
      <c r="H58" s="21" t="n">
        <f aca="false">(G58-F58)*100</f>
        <v>-0.00626859441712476</v>
      </c>
      <c r="I58" s="21" t="n">
        <f aca="false">D58/B$60*100</f>
        <v>-0.00589933646679385</v>
      </c>
      <c r="J58" s="16" t="n">
        <v>788.193548387097</v>
      </c>
      <c r="K58" s="16" t="n">
        <v>433</v>
      </c>
      <c r="L58" s="14" t="n">
        <f aca="false">IF(J58&lt;1,"new",K58/J58-1)</f>
        <v>-0.450642547270197</v>
      </c>
      <c r="M58" s="14" t="n">
        <f aca="false">IF(OR(J58&lt;1,K58&lt;1,B58&lt;=0),"n/a",(C58/K58)/(B58/J58)-1)</f>
        <v>0.0188625713423507</v>
      </c>
    </row>
    <row r="59" customFormat="false" ht="15" hidden="false" customHeight="false" outlineLevel="0" collapsed="false">
      <c r="A59" s="4" t="s">
        <v>173</v>
      </c>
      <c r="B59" s="12" t="n">
        <v>0.0411230721576948</v>
      </c>
      <c r="C59" s="12" t="n">
        <v>0.0410268971196677</v>
      </c>
      <c r="D59" s="10" t="n">
        <f aca="false">C59-B59</f>
        <v>-9.61750380270646E-005</v>
      </c>
      <c r="E59" s="14" t="str">
        <f aca="false">IF(B59&lt;0.05,"new",C59/B59-1)</f>
        <v>new</v>
      </c>
      <c r="F59" s="14" t="n">
        <f aca="false">B59/B$60</f>
        <v>1.23954815313665E-005</v>
      </c>
      <c r="G59" s="14" t="n">
        <f aca="false">C59/C$60</f>
        <v>1.17576119521828E-005</v>
      </c>
      <c r="H59" s="21" t="n">
        <f aca="false">(G59-F59)*100</f>
        <v>-6.37869579183675E-005</v>
      </c>
      <c r="I59" s="21" t="n">
        <f aca="false">D59/B$60*100</f>
        <v>-2.89894661340344E-006</v>
      </c>
      <c r="J59" s="16" t="n">
        <v>20160.4193548387</v>
      </c>
      <c r="K59" s="16" t="n">
        <v>11252</v>
      </c>
      <c r="L59" s="14" t="n">
        <f aca="false">IF(J59&lt;1,"new",K59/J59-1)</f>
        <v>-0.441876689072968</v>
      </c>
      <c r="M59" s="14" t="n">
        <f aca="false">IF(OR(J59&lt;1,K59&lt;1,B59&lt;=0),"n/a",(C59/K59)/(B59/J59)-1)</f>
        <v>0.787528433387319</v>
      </c>
    </row>
    <row r="60" customFormat="false" ht="15" hidden="false" customHeight="false" outlineLevel="0" collapsed="false">
      <c r="A60" s="7" t="s">
        <v>83</v>
      </c>
      <c r="B60" s="13" t="n">
        <f aca="false">SUM(B35:B59)</f>
        <v>3317.58569069171</v>
      </c>
      <c r="C60" s="13" t="n">
        <f aca="false">SUM(C35:C59)</f>
        <v>3489.3903019185</v>
      </c>
      <c r="D60" s="13" t="n">
        <f aca="false">SUM(D35:D59)</f>
        <v>171.804611226791</v>
      </c>
      <c r="E60" s="19" t="n">
        <f aca="false">C60/B60-1</f>
        <v>0.0517860357635465</v>
      </c>
      <c r="I60" s="22" t="n">
        <f aca="false">SUM(I35:I59)</f>
        <v>5.17860357635466</v>
      </c>
      <c r="J60" s="23" t="n">
        <f aca="false">SUM(J35:J59)</f>
        <v>15054344.4516129</v>
      </c>
      <c r="K60" s="23" t="n">
        <f aca="false">SUM(K35:K59)</f>
        <v>15428967</v>
      </c>
      <c r="L60" s="19" t="n">
        <f aca="false">K60/J60-1</f>
        <v>0.024884680272276</v>
      </c>
      <c r="M60" s="19" t="n">
        <f aca="false">(C60/K60)/(B60/J60)-1</f>
        <v>0.026248177974642</v>
      </c>
    </row>
    <row r="63" customFormat="false" ht="15" hidden="false" customHeight="false" outlineLevel="0" collapsed="false">
      <c r="A63" s="7" t="s">
        <v>176</v>
      </c>
    </row>
    <row r="64" customFormat="false" ht="39.75" hidden="false" customHeight="true" outlineLevel="0" collapsed="false">
      <c r="A64" s="3" t="s">
        <v>141</v>
      </c>
      <c r="B64" s="3" t="s">
        <v>115</v>
      </c>
      <c r="C64" s="3" t="s">
        <v>116</v>
      </c>
      <c r="D64" s="3" t="s">
        <v>117</v>
      </c>
      <c r="E64" s="3" t="s">
        <v>118</v>
      </c>
      <c r="F64" s="3" t="s">
        <v>142</v>
      </c>
      <c r="G64" s="3" t="s">
        <v>143</v>
      </c>
      <c r="H64" s="3" t="s">
        <v>144</v>
      </c>
      <c r="I64" s="3" t="s">
        <v>145</v>
      </c>
      <c r="J64" s="3" t="s">
        <v>146</v>
      </c>
      <c r="K64" s="3" t="s">
        <v>147</v>
      </c>
      <c r="L64" s="3" t="s">
        <v>148</v>
      </c>
      <c r="M64" s="3" t="s">
        <v>149</v>
      </c>
    </row>
    <row r="65" customFormat="false" ht="15" hidden="false" customHeight="false" outlineLevel="0" collapsed="false">
      <c r="A65" s="4" t="s">
        <v>177</v>
      </c>
      <c r="B65" s="12" t="n">
        <v>92.8101974501688</v>
      </c>
      <c r="C65" s="12" t="n">
        <v>91.0678455890115</v>
      </c>
      <c r="D65" s="10" t="n">
        <f aca="false">C65-B65</f>
        <v>-1.74235186115727</v>
      </c>
      <c r="E65" s="14" t="n">
        <f aca="false">IF(B65&lt;0.05,"new",C65/B65-1)</f>
        <v>-0.0187732804048043</v>
      </c>
      <c r="F65" s="14" t="n">
        <f aca="false">B65/B$97</f>
        <v>0.235919861741057</v>
      </c>
      <c r="G65" s="14" t="n">
        <f aca="false">C65/C$97</f>
        <v>0.245726131394073</v>
      </c>
      <c r="H65" s="21" t="n">
        <f aca="false">(G65-F65)*100</f>
        <v>0.98062696530164</v>
      </c>
      <c r="I65" s="21" t="n">
        <f aca="false">D65/B$97*100</f>
        <v>-0.442898971752753</v>
      </c>
      <c r="J65" s="16" t="n">
        <v>263655.612903226</v>
      </c>
      <c r="K65" s="16" t="n">
        <v>250778.590061862</v>
      </c>
      <c r="L65" s="14" t="n">
        <f aca="false">IF(J65&lt;1,"new",K65/J65-1)</f>
        <v>-0.0488403136939486</v>
      </c>
      <c r="M65" s="14" t="n">
        <f aca="false">IF(OR(J65&lt;1,K65&lt;1,B65&lt;=0),"n/a",(C65/K65)/(B65/J65)-1)</f>
        <v>0.0316109205657289</v>
      </c>
    </row>
    <row r="66" customFormat="false" ht="15" hidden="false" customHeight="false" outlineLevel="0" collapsed="false">
      <c r="A66" s="4" t="s">
        <v>178</v>
      </c>
      <c r="B66" s="12" t="n">
        <v>59.5782541688902</v>
      </c>
      <c r="C66" s="12" t="n">
        <v>52.0651096268553</v>
      </c>
      <c r="D66" s="10" t="n">
        <f aca="false">C66-B66</f>
        <v>-7.51314454203494</v>
      </c>
      <c r="E66" s="14" t="n">
        <f aca="false">IF(B66&lt;0.05,"new",C66/B66-1)</f>
        <v>-0.126105483398976</v>
      </c>
      <c r="F66" s="14" t="n">
        <f aca="false">B66/B$97</f>
        <v>0.151445572495898</v>
      </c>
      <c r="G66" s="14" t="n">
        <f aca="false">C66/C$97</f>
        <v>0.140486006740004</v>
      </c>
      <c r="H66" s="21" t="n">
        <f aca="false">(G66-F66)*100</f>
        <v>-1.09595657558943</v>
      </c>
      <c r="I66" s="21" t="n">
        <f aca="false">D66/B$97*100</f>
        <v>-1.90981171282298</v>
      </c>
      <c r="J66" s="16" t="n">
        <v>75740.3225806452</v>
      </c>
      <c r="K66" s="16" t="n">
        <v>68523</v>
      </c>
      <c r="L66" s="14" t="n">
        <f aca="false">IF(J66&lt;1,"new",K66/J66-1)</f>
        <v>-0.0952903596754616</v>
      </c>
      <c r="M66" s="14" t="n">
        <f aca="false">IF(OR(J66&lt;1,K66&lt;1,B66&lt;=0),"n/a",(C66/K66)/(B66/J66)-1)</f>
        <v>-0.0340607885116159</v>
      </c>
    </row>
    <row r="67" customFormat="false" ht="15" hidden="false" customHeight="false" outlineLevel="0" collapsed="false">
      <c r="A67" s="4" t="s">
        <v>179</v>
      </c>
      <c r="B67" s="12" t="n">
        <v>48.6806858130042</v>
      </c>
      <c r="C67" s="12" t="n">
        <v>43.8258706873324</v>
      </c>
      <c r="D67" s="10" t="n">
        <f aca="false">C67-B67</f>
        <v>-4.85481512567185</v>
      </c>
      <c r="E67" s="14" t="n">
        <f aca="false">IF(B67&lt;0.05,"new",C67/B67-1)</f>
        <v>-0.099727747146384</v>
      </c>
      <c r="F67" s="14" t="n">
        <f aca="false">B67/B$97</f>
        <v>0.123744383505165</v>
      </c>
      <c r="G67" s="14" t="n">
        <f aca="false">C67/C$97</f>
        <v>0.118254270640993</v>
      </c>
      <c r="H67" s="21" t="n">
        <f aca="false">(G67-F67)*100</f>
        <v>-0.549011286417245</v>
      </c>
      <c r="I67" s="21" t="n">
        <f aca="false">D67/B$97*100</f>
        <v>-1.23407485889883</v>
      </c>
      <c r="J67" s="16" t="n">
        <v>129465.35483871</v>
      </c>
      <c r="K67" s="16" t="n">
        <v>113662</v>
      </c>
      <c r="L67" s="14" t="n">
        <f aca="false">IF(J67&lt;1,"new",K67/J67-1)</f>
        <v>-0.122066284516022</v>
      </c>
      <c r="M67" s="14" t="n">
        <f aca="false">IF(OR(J67&lt;1,K67&lt;1,B67&lt;=0),"n/a",(C67/K67)/(B67/J67)-1)</f>
        <v>0.0254444464037054</v>
      </c>
    </row>
    <row r="68" customFormat="false" ht="15" hidden="false" customHeight="false" outlineLevel="0" collapsed="false">
      <c r="A68" s="4" t="s">
        <v>180</v>
      </c>
      <c r="B68" s="12" t="n">
        <v>28.9220014216175</v>
      </c>
      <c r="C68" s="12" t="n">
        <v>25.7162852257476</v>
      </c>
      <c r="D68" s="10" t="n">
        <f aca="false">C68-B68</f>
        <v>-3.20571619586987</v>
      </c>
      <c r="E68" s="14" t="n">
        <f aca="false">IF(B68&lt;0.05,"new",C68/B68-1)</f>
        <v>-0.110840053879321</v>
      </c>
      <c r="F68" s="14" t="n">
        <f aca="false">B68/B$97</f>
        <v>0.0735185870100769</v>
      </c>
      <c r="G68" s="14" t="n">
        <f aca="false">C68/C$97</f>
        <v>0.0693896209082167</v>
      </c>
      <c r="H68" s="21" t="n">
        <f aca="false">(G68-F68)*100</f>
        <v>-0.412896610186016</v>
      </c>
      <c r="I68" s="21" t="n">
        <f aca="false">D68/B$97*100</f>
        <v>-0.814880414532845</v>
      </c>
      <c r="J68" s="16" t="n">
        <v>31614.3225806452</v>
      </c>
      <c r="K68" s="16" t="n">
        <v>27894.5106642895</v>
      </c>
      <c r="L68" s="14" t="n">
        <f aca="false">IF(J68&lt;1,"new",K68/J68-1)</f>
        <v>-0.117662237008772</v>
      </c>
      <c r="M68" s="14" t="n">
        <f aca="false">IF(OR(J68&lt;1,K68&lt;1,B68&lt;=0),"n/a",(C68/K68)/(B68/J68)-1)</f>
        <v>0.0077319405511147</v>
      </c>
    </row>
    <row r="69" customFormat="false" ht="15" hidden="false" customHeight="false" outlineLevel="0" collapsed="false">
      <c r="A69" s="4" t="s">
        <v>181</v>
      </c>
      <c r="B69" s="12" t="n">
        <v>25.9040671346218</v>
      </c>
      <c r="C69" s="12" t="n">
        <v>21.4102605774733</v>
      </c>
      <c r="D69" s="10" t="n">
        <f aca="false">C69-B69</f>
        <v>-4.49380655714841</v>
      </c>
      <c r="E69" s="14" t="n">
        <f aca="false">IF(B69&lt;0.05,"new",C69/B69-1)</f>
        <v>-0.173478802915171</v>
      </c>
      <c r="F69" s="14" t="n">
        <f aca="false">B69/B$97</f>
        <v>0.0658471170715078</v>
      </c>
      <c r="G69" s="14" t="n">
        <f aca="false">C69/C$97</f>
        <v>0.0577707803430937</v>
      </c>
      <c r="H69" s="21" t="n">
        <f aca="false">(G69-F69)*100</f>
        <v>-0.807633672841408</v>
      </c>
      <c r="I69" s="21" t="n">
        <f aca="false">D69/B$97*100</f>
        <v>-1.14230790449803</v>
      </c>
      <c r="J69" s="16" t="n">
        <v>26997.064516129</v>
      </c>
      <c r="K69" s="16" t="n">
        <v>21482.6018837618</v>
      </c>
      <c r="L69" s="14" t="n">
        <f aca="false">IF(J69&lt;1,"new",K69/J69-1)</f>
        <v>-0.20426156440352</v>
      </c>
      <c r="M69" s="14" t="n">
        <f aca="false">IF(OR(J69&lt;1,K69&lt;1,B69&lt;=0),"n/a",(C69/K69)/(B69/J69)-1)</f>
        <v>0.0386845225909864</v>
      </c>
    </row>
    <row r="70" customFormat="false" ht="15" hidden="false" customHeight="false" outlineLevel="0" collapsed="false">
      <c r="A70" s="4" t="s">
        <v>182</v>
      </c>
      <c r="B70" s="12" t="n">
        <v>17.5590586810037</v>
      </c>
      <c r="C70" s="12" t="n">
        <v>17.2728080395037</v>
      </c>
      <c r="D70" s="10" t="n">
        <f aca="false">C70-B70</f>
        <v>-0.286250641499979</v>
      </c>
      <c r="E70" s="14" t="n">
        <f aca="false">IF(B70&lt;0.05,"new",C70/B70-1)</f>
        <v>-0.0163021632708398</v>
      </c>
      <c r="F70" s="14" t="n">
        <f aca="false">B70/B$97</f>
        <v>0.0446344346864436</v>
      </c>
      <c r="G70" s="14" t="n">
        <f aca="false">C70/C$97</f>
        <v>0.0466067937635699</v>
      </c>
      <c r="H70" s="21" t="n">
        <f aca="false">(G70-F70)*100</f>
        <v>0.197235907712633</v>
      </c>
      <c r="I70" s="21" t="n">
        <f aca="false">D70/B$97*100</f>
        <v>-0.072763784176004</v>
      </c>
      <c r="J70" s="16" t="n">
        <v>13318.064516129</v>
      </c>
      <c r="K70" s="16" t="n">
        <v>13828.5717285951</v>
      </c>
      <c r="L70" s="14" t="n">
        <f aca="false">IF(J70&lt;1,"new",K70/J70-1)</f>
        <v>0.0383319371856017</v>
      </c>
      <c r="M70" s="14" t="n">
        <f aca="false">IF(OR(J70&lt;1,K70&lt;1,B70&lt;=0),"n/a",(C70/K70)/(B70/J70)-1)</f>
        <v>-0.0526171819433072</v>
      </c>
    </row>
    <row r="71" customFormat="false" ht="15" hidden="false" customHeight="false" outlineLevel="0" collapsed="false">
      <c r="A71" s="4" t="s">
        <v>183</v>
      </c>
      <c r="B71" s="12" t="n">
        <v>15.9965295283478</v>
      </c>
      <c r="C71" s="12" t="n">
        <v>14.164246087321</v>
      </c>
      <c r="D71" s="10" t="n">
        <f aca="false">C71-B71</f>
        <v>-1.83228344102675</v>
      </c>
      <c r="E71" s="14" t="n">
        <f aca="false">IF(B71&lt;0.05,"new",C71/B71-1)</f>
        <v>-0.114542559858357</v>
      </c>
      <c r="F71" s="14" t="n">
        <f aca="false">B71/B$97</f>
        <v>0.0406625472022167</v>
      </c>
      <c r="G71" s="14" t="n">
        <f aca="false">C71/C$97</f>
        <v>0.0382190373851449</v>
      </c>
      <c r="H71" s="21" t="n">
        <f aca="false">(G71-F71)*100</f>
        <v>-0.24435098170718</v>
      </c>
      <c r="I71" s="21" t="n">
        <f aca="false">D71/B$97*100</f>
        <v>-0.465759224690317</v>
      </c>
      <c r="J71" s="16" t="n">
        <v>19988.7741935484</v>
      </c>
      <c r="K71" s="16" t="n">
        <v>17747</v>
      </c>
      <c r="L71" s="14" t="n">
        <f aca="false">IF(J71&lt;1,"new",K71/J71-1)</f>
        <v>-0.112151659318456</v>
      </c>
      <c r="M71" s="14" t="n">
        <f aca="false">IF(OR(J71&lt;1,K71&lt;1,B71&lt;=0),"n/a",(C71/K71)/(B71/J71)-1)</f>
        <v>-0.0026929154793095</v>
      </c>
    </row>
    <row r="72" customFormat="false" ht="15" hidden="false" customHeight="false" outlineLevel="0" collapsed="false">
      <c r="A72" s="4" t="s">
        <v>184</v>
      </c>
      <c r="B72" s="12" t="n">
        <v>14.6380364204561</v>
      </c>
      <c r="C72" s="12" t="n">
        <v>13.8416374200152</v>
      </c>
      <c r="D72" s="10" t="n">
        <f aca="false">C72-B72</f>
        <v>-0.796399000440839</v>
      </c>
      <c r="E72" s="14" t="n">
        <f aca="false">IF(B72&lt;0.05,"new",C72/B72-1)</f>
        <v>-0.0544061360120613</v>
      </c>
      <c r="F72" s="14" t="n">
        <f aca="false">B72/B$97</f>
        <v>0.0372093112971636</v>
      </c>
      <c r="G72" s="14" t="n">
        <f aca="false">C72/C$97</f>
        <v>0.0373485503404748</v>
      </c>
      <c r="H72" s="21" t="n">
        <f aca="false">(G72-F72)*100</f>
        <v>0.0139239043311194</v>
      </c>
      <c r="I72" s="21" t="n">
        <f aca="false">D72/B$97*100</f>
        <v>-0.202441485134861</v>
      </c>
      <c r="J72" s="16" t="n">
        <v>14869.935483871</v>
      </c>
      <c r="K72" s="16" t="n">
        <v>13506.4164225542</v>
      </c>
      <c r="L72" s="14" t="n">
        <f aca="false">IF(J72&lt;1,"new",K72/J72-1)</f>
        <v>-0.0916963669947164</v>
      </c>
      <c r="M72" s="14" t="n">
        <f aca="false">IF(OR(J72&lt;1,K72&lt;1,B72&lt;=0),"n/a",(C72/K72)/(B72/J72)-1)</f>
        <v>0.0410548076960495</v>
      </c>
    </row>
    <row r="73" customFormat="false" ht="15" hidden="false" customHeight="false" outlineLevel="0" collapsed="false">
      <c r="A73" s="4" t="s">
        <v>185</v>
      </c>
      <c r="B73" s="12" t="n">
        <v>13.3145278903752</v>
      </c>
      <c r="C73" s="12" t="n">
        <v>13.4186383611233</v>
      </c>
      <c r="D73" s="10" t="n">
        <f aca="false">C73-B73</f>
        <v>0.10411047074807</v>
      </c>
      <c r="E73" s="14" t="n">
        <f aca="false">IF(B73&lt;0.05,"new",C73/B73-1)</f>
        <v>0.00781931373048006</v>
      </c>
      <c r="F73" s="14" t="n">
        <f aca="false">B73/B$97</f>
        <v>0.0338450048092109</v>
      </c>
      <c r="G73" s="14" t="n">
        <f aca="false">C73/C$97</f>
        <v>0.036207182367481</v>
      </c>
      <c r="H73" s="21" t="n">
        <f aca="false">(G73-F73)*100</f>
        <v>0.236217755827012</v>
      </c>
      <c r="I73" s="21" t="n">
        <f aca="false">D73/B$97*100</f>
        <v>0.0264644710812825</v>
      </c>
      <c r="J73" s="16" t="n">
        <v>19783.8709677419</v>
      </c>
      <c r="K73" s="16" t="n">
        <v>20167</v>
      </c>
      <c r="L73" s="14" t="n">
        <f aca="false">IF(J73&lt;1,"new",K73/J73-1)</f>
        <v>0.0193657263981737</v>
      </c>
      <c r="M73" s="14" t="n">
        <f aca="false">IF(OR(J73&lt;1,K73&lt;1,B73&lt;=0),"n/a",(C73/K73)/(B73/J73)-1)</f>
        <v>-0.0113270560002949</v>
      </c>
    </row>
    <row r="74" customFormat="false" ht="15" hidden="false" customHeight="false" outlineLevel="0" collapsed="false">
      <c r="A74" s="4" t="s">
        <v>186</v>
      </c>
      <c r="B74" s="12" t="n">
        <v>12.2120783612816</v>
      </c>
      <c r="C74" s="12" t="n">
        <v>10.7505050234214</v>
      </c>
      <c r="D74" s="10" t="n">
        <f aca="false">C74-B74</f>
        <v>-1.4615733378602</v>
      </c>
      <c r="E74" s="14" t="n">
        <f aca="false">IF(B74&lt;0.05,"new",C74/B74-1)</f>
        <v>-0.119682603945134</v>
      </c>
      <c r="F74" s="14" t="n">
        <f aca="false">B74/B$97</f>
        <v>0.0310426215838124</v>
      </c>
      <c r="G74" s="14" t="n">
        <f aca="false">C74/C$97</f>
        <v>0.0290078237038764</v>
      </c>
      <c r="H74" s="21" t="n">
        <f aca="false">(G74-F74)*100</f>
        <v>-0.2034797879936</v>
      </c>
      <c r="I74" s="21" t="n">
        <f aca="false">D74/B$97*100</f>
        <v>-0.371526178443408</v>
      </c>
      <c r="J74" s="16" t="n">
        <v>29155.5806451613</v>
      </c>
      <c r="K74" s="16" t="n">
        <v>24386</v>
      </c>
      <c r="L74" s="14" t="n">
        <f aca="false">IF(J74&lt;1,"new",K74/J74-1)</f>
        <v>-0.163590658790493</v>
      </c>
      <c r="M74" s="14" t="n">
        <f aca="false">IF(OR(J74&lt;1,K74&lt;1,B74&lt;=0),"n/a",(C74/K74)/(B74/J74)-1)</f>
        <v>0.0524958924799492</v>
      </c>
    </row>
    <row r="75" customFormat="false" ht="15" hidden="false" customHeight="false" outlineLevel="0" collapsed="false">
      <c r="A75" s="4" t="s">
        <v>187</v>
      </c>
      <c r="B75" s="12" t="n">
        <v>4.00598053241319</v>
      </c>
      <c r="C75" s="12" t="n">
        <v>10.4784426663322</v>
      </c>
      <c r="D75" s="10" t="n">
        <f aca="false">C75-B75</f>
        <v>6.47246213391901</v>
      </c>
      <c r="E75" s="14" t="n">
        <f aca="false">IF(B75&lt;0.05,"new",C75/B75-1)</f>
        <v>1.61569984715328</v>
      </c>
      <c r="F75" s="14" t="n">
        <f aca="false">B75/B$97</f>
        <v>0.0101830445286114</v>
      </c>
      <c r="G75" s="14" t="n">
        <f aca="false">C75/C$97</f>
        <v>0.028273724526795</v>
      </c>
      <c r="H75" s="21" t="n">
        <f aca="false">(G75-F75)*100</f>
        <v>1.80906799981835</v>
      </c>
      <c r="I75" s="21" t="n">
        <f aca="false">D75/B$97*100</f>
        <v>1.64527434884325</v>
      </c>
      <c r="J75" s="16" t="n">
        <v>2852.70967741936</v>
      </c>
      <c r="K75" s="16" t="n">
        <v>11883</v>
      </c>
      <c r="L75" s="14" t="n">
        <f aca="false">IF(J75&lt;1,"new",K75/J75-1)</f>
        <v>3.16551326412918</v>
      </c>
      <c r="M75" s="14" t="n">
        <f aca="false">IF(OR(J75&lt;1,K75&lt;1,B75&lt;=0),"n/a",(C75/K75)/(B75/J75)-1)</f>
        <v>-0.372058211966802</v>
      </c>
    </row>
    <row r="76" customFormat="false" ht="15" hidden="false" customHeight="false" outlineLevel="0" collapsed="false">
      <c r="A76" s="4" t="s">
        <v>188</v>
      </c>
      <c r="B76" s="12" t="n">
        <v>0.590768057610861</v>
      </c>
      <c r="C76" s="12" t="n">
        <v>10.3227272212342</v>
      </c>
      <c r="D76" s="10" t="n">
        <f aca="false">C76-B76</f>
        <v>9.73195916362333</v>
      </c>
      <c r="E76" s="14" t="n">
        <f aca="false">IF(B76&lt;0.05,"new",C76/B76-1)</f>
        <v>16.473401089051</v>
      </c>
      <c r="F76" s="14" t="n">
        <f aca="false">B76/B$97</f>
        <v>0.00150170910418997</v>
      </c>
      <c r="G76" s="14" t="n">
        <f aca="false">C76/C$97</f>
        <v>0.0278535613652009</v>
      </c>
      <c r="H76" s="21" t="n">
        <f aca="false">(G76-F76)*100</f>
        <v>2.63518522610109</v>
      </c>
      <c r="I76" s="21" t="n">
        <f aca="false">D76/B$97*100</f>
        <v>2.47382563924009</v>
      </c>
      <c r="J76" s="16" t="n">
        <v>3291.8064516129</v>
      </c>
      <c r="K76" s="16" t="n">
        <v>24810.8756836449</v>
      </c>
      <c r="L76" s="14" t="n">
        <f aca="false">IF(J76&lt;1,"new",K76/J76-1)</f>
        <v>6.53716114490515</v>
      </c>
      <c r="M76" s="14" t="n">
        <f aca="false">IF(OR(J76&lt;1,K76&lt;1,B76&lt;=0),"n/a",(C76/K76)/(B76/J76)-1)</f>
        <v>1.31830005397489</v>
      </c>
    </row>
    <row r="77" customFormat="false" ht="15" hidden="false" customHeight="false" outlineLevel="0" collapsed="false">
      <c r="A77" s="4" t="s">
        <v>189</v>
      </c>
      <c r="B77" s="12" t="n">
        <v>10.3936649163478</v>
      </c>
      <c r="C77" s="12" t="n">
        <v>10.322551867699</v>
      </c>
      <c r="D77" s="10" t="n">
        <f aca="false">C77-B77</f>
        <v>-0.0711130486487601</v>
      </c>
      <c r="E77" s="14" t="n">
        <f aca="false">IF(B77&lt;0.05,"new",C77/B77-1)</f>
        <v>-0.00684196086953981</v>
      </c>
      <c r="F77" s="14" t="n">
        <f aca="false">B77/B$97</f>
        <v>0.0264202863199833</v>
      </c>
      <c r="G77" s="14" t="n">
        <f aca="false">C77/C$97</f>
        <v>0.0278530882130631</v>
      </c>
      <c r="H77" s="21" t="n">
        <f aca="false">(G77-F77)*100</f>
        <v>0.143280189307981</v>
      </c>
      <c r="I77" s="21" t="n">
        <f aca="false">D77/B$97*100</f>
        <v>-0.0180766565163363</v>
      </c>
      <c r="J77" s="16" t="n">
        <v>15449.7096774194</v>
      </c>
      <c r="K77" s="16" t="n">
        <v>15979</v>
      </c>
      <c r="L77" s="14" t="n">
        <f aca="false">IF(J77&lt;1,"new",K77/J77-1)</f>
        <v>0.0342589170691174</v>
      </c>
      <c r="M77" s="14" t="n">
        <f aca="false">IF(OR(J77&lt;1,K77&lt;1,B77&lt;=0),"n/a",(C77/K77)/(B77/J77)-1)</f>
        <v>-0.0397394475023033</v>
      </c>
    </row>
    <row r="78" customFormat="false" ht="15" hidden="false" customHeight="false" outlineLevel="0" collapsed="false">
      <c r="A78" s="4" t="s">
        <v>190</v>
      </c>
      <c r="B78" s="12" t="n">
        <v>10.0544817814517</v>
      </c>
      <c r="C78" s="12" t="n">
        <v>9.88150320677104</v>
      </c>
      <c r="D78" s="10" t="n">
        <f aca="false">C78-B78</f>
        <v>-0.17297857468062</v>
      </c>
      <c r="E78" s="14" t="n">
        <f aca="false">IF(B78&lt;0.05,"new",C78/B78-1)</f>
        <v>-0.0172041263230223</v>
      </c>
      <c r="F78" s="14" t="n">
        <f aca="false">B78/B$97</f>
        <v>0.0255580961675213</v>
      </c>
      <c r="G78" s="14" t="n">
        <f aca="false">C78/C$97</f>
        <v>0.0266630174421406</v>
      </c>
      <c r="H78" s="21" t="n">
        <f aca="false">(G78-F78)*100</f>
        <v>0.110492127461929</v>
      </c>
      <c r="I78" s="21" t="n">
        <f aca="false">D78/B$97*100</f>
        <v>-0.0439704715041987</v>
      </c>
      <c r="J78" s="16" t="n">
        <v>4526</v>
      </c>
      <c r="K78" s="16" t="n">
        <v>4377</v>
      </c>
      <c r="L78" s="14" t="n">
        <f aca="false">IF(J78&lt;1,"new",K78/J78-1)</f>
        <v>-0.0329209014582412</v>
      </c>
      <c r="M78" s="14" t="n">
        <f aca="false">IF(OR(J78&lt;1,K78&lt;1,B78&lt;=0),"n/a",(C78/K78)/(B78/J78)-1)</f>
        <v>0.0162517990089106</v>
      </c>
    </row>
    <row r="79" customFormat="false" ht="15" hidden="false" customHeight="false" outlineLevel="0" collapsed="false">
      <c r="A79" s="4" t="s">
        <v>191</v>
      </c>
      <c r="B79" s="12" t="n">
        <v>6.01664155419444</v>
      </c>
      <c r="C79" s="12" t="n">
        <v>4.87528681059339</v>
      </c>
      <c r="D79" s="10" t="n">
        <f aca="false">C79-B79</f>
        <v>-1.14135474360105</v>
      </c>
      <c r="E79" s="14" t="n">
        <f aca="false">IF(B79&lt;0.05,"new",C79/B79-1)</f>
        <v>-0.18969964112377</v>
      </c>
      <c r="F79" s="14" t="n">
        <f aca="false">B79/B$97</f>
        <v>0.0152940655510745</v>
      </c>
      <c r="G79" s="14" t="n">
        <f aca="false">C79/C$97</f>
        <v>0.0131548666783023</v>
      </c>
      <c r="H79" s="21" t="n">
        <f aca="false">(G79-F79)*100</f>
        <v>-0.213919887277223</v>
      </c>
      <c r="I79" s="21" t="n">
        <f aca="false">D79/B$97*100</f>
        <v>-0.290127874636225</v>
      </c>
      <c r="J79" s="16" t="n">
        <v>26817.7096774194</v>
      </c>
      <c r="K79" s="16" t="n">
        <v>23269</v>
      </c>
      <c r="L79" s="14" t="n">
        <f aca="false">IF(J79&lt;1,"new",K79/J79-1)</f>
        <v>-0.132327097284053</v>
      </c>
      <c r="M79" s="14" t="n">
        <f aca="false">IF(OR(J79&lt;1,K79&lt;1,B79&lt;=0),"n/a",(C79/K79)/(B79/J79)-1)</f>
        <v>-0.0661223182839202</v>
      </c>
    </row>
    <row r="80" customFormat="false" ht="15" hidden="false" customHeight="false" outlineLevel="0" collapsed="false">
      <c r="A80" s="4" t="s">
        <v>192</v>
      </c>
      <c r="B80" s="12" t="n">
        <v>0.184155078737529</v>
      </c>
      <c r="C80" s="12" t="n">
        <v>4.1083812082282</v>
      </c>
      <c r="D80" s="10" t="n">
        <f aca="false">C80-B80</f>
        <v>3.92422612949067</v>
      </c>
      <c r="E80" s="14" t="n">
        <f aca="false">IF(B80&lt;0.05,"new",C80/B80-1)</f>
        <v>21.3093559862324</v>
      </c>
      <c r="F80" s="14" t="n">
        <f aca="false">B80/B$97</f>
        <v>0.000468114947584268</v>
      </c>
      <c r="G80" s="14" t="n">
        <f aca="false">C80/C$97</f>
        <v>0.0110855441243889</v>
      </c>
      <c r="H80" s="21" t="n">
        <f aca="false">(G80-F80)*100</f>
        <v>1.06174291768047</v>
      </c>
      <c r="I80" s="21" t="n">
        <f aca="false">D80/B$97*100</f>
        <v>0.99752280605497</v>
      </c>
      <c r="J80" s="16" t="n">
        <v>1102.61290322581</v>
      </c>
      <c r="K80" s="16" t="n">
        <v>24727</v>
      </c>
      <c r="L80" s="14" t="n">
        <f aca="false">IF(J80&lt;1,"new",K80/J80-1)</f>
        <v>21.4258213627454</v>
      </c>
      <c r="M80" s="14" t="n">
        <f aca="false">IF(OR(J80&lt;1,K80&lt;1,B80&lt;=0),"n/a",(C80/K80)/(B80/J80)-1)</f>
        <v>-0.00519336057436082</v>
      </c>
    </row>
    <row r="81" customFormat="false" ht="15" hidden="false" customHeight="false" outlineLevel="0" collapsed="false">
      <c r="A81" s="4" t="s">
        <v>193</v>
      </c>
      <c r="B81" s="12" t="n">
        <v>0.182173407193432</v>
      </c>
      <c r="C81" s="12" t="n">
        <v>3.98314432606574</v>
      </c>
      <c r="D81" s="10" t="n">
        <f aca="false">C81-B81</f>
        <v>3.80097091887231</v>
      </c>
      <c r="E81" s="14" t="n">
        <f aca="false">IF(B81&lt;0.05,"new",C81/B81-1)</f>
        <v>20.8645761059759</v>
      </c>
      <c r="F81" s="14" t="n">
        <f aca="false">B81/B$97</f>
        <v>0.000463077616670814</v>
      </c>
      <c r="G81" s="14" t="n">
        <f aca="false">C81/C$97</f>
        <v>0.0107476205206999</v>
      </c>
      <c r="H81" s="21" t="n">
        <f aca="false">(G81-F81)*100</f>
        <v>1.02845429040291</v>
      </c>
      <c r="I81" s="21" t="n">
        <f aca="false">D81/B$97*100</f>
        <v>0.966191817600214</v>
      </c>
      <c r="J81" s="16" t="n">
        <v>545.483870967742</v>
      </c>
      <c r="K81" s="16" t="n">
        <v>12006</v>
      </c>
      <c r="L81" s="14" t="n">
        <f aca="false">IF(J81&lt;1,"new",K81/J81-1)</f>
        <v>21.0098166765228</v>
      </c>
      <c r="M81" s="14" t="n">
        <f aca="false">IF(OR(J81&lt;1,K81&lt;1,B81&lt;=0),"n/a",(C81/K81)/(B81/J81)-1)</f>
        <v>-0.00659889960382054</v>
      </c>
    </row>
    <row r="82" customFormat="false" ht="15" hidden="false" customHeight="false" outlineLevel="0" collapsed="false">
      <c r="A82" s="4" t="s">
        <v>194</v>
      </c>
      <c r="B82" s="12" t="n">
        <v>0.130803581903709</v>
      </c>
      <c r="C82" s="12" t="n">
        <v>3.79377415544548</v>
      </c>
      <c r="D82" s="10" t="n">
        <f aca="false">C82-B82</f>
        <v>3.66297057354177</v>
      </c>
      <c r="E82" s="14" t="n">
        <f aca="false">IF(B82&lt;0.05,"new",C82/B82-1)</f>
        <v>28.0035953162069</v>
      </c>
      <c r="F82" s="14" t="n">
        <f aca="false">B82/B$97</f>
        <v>0.000332497546668045</v>
      </c>
      <c r="G82" s="14" t="n">
        <f aca="false">C82/C$97</f>
        <v>0.0102366476396903</v>
      </c>
      <c r="H82" s="21" t="n">
        <f aca="false">(G82-F82)*100</f>
        <v>0.990415009302227</v>
      </c>
      <c r="I82" s="21" t="n">
        <f aca="false">D82/B$97*100</f>
        <v>0.931112674052353</v>
      </c>
      <c r="J82" s="16" t="n">
        <v>537.935483870968</v>
      </c>
      <c r="K82" s="16" t="n">
        <v>9041.51061455787</v>
      </c>
      <c r="L82" s="14" t="n">
        <f aca="false">IF(J82&lt;1,"new",K82/J82-1)</f>
        <v>15.8077973765468</v>
      </c>
      <c r="M82" s="14" t="n">
        <f aca="false">IF(OR(J82&lt;1,K82&lt;1,B82&lt;=0),"n/a",(C82/K82)/(B82/J82)-1)</f>
        <v>0.725603579483761</v>
      </c>
    </row>
    <row r="83" customFormat="false" ht="15" hidden="false" customHeight="false" outlineLevel="0" collapsed="false">
      <c r="A83" s="4" t="s">
        <v>195</v>
      </c>
      <c r="B83" s="12" t="n">
        <v>4.10273011268669</v>
      </c>
      <c r="C83" s="12" t="n">
        <v>3.07034415255448</v>
      </c>
      <c r="D83" s="10" t="n">
        <f aca="false">C83-B83</f>
        <v>-1.03238596013221</v>
      </c>
      <c r="E83" s="14" t="n">
        <f aca="false">IF(B83&lt;0.05,"new",C83/B83-1)</f>
        <v>-0.251633895424856</v>
      </c>
      <c r="F83" s="14" t="n">
        <f aca="false">B83/B$97</f>
        <v>0.010428978146131</v>
      </c>
      <c r="G83" s="14" t="n">
        <f aca="false">C83/C$97</f>
        <v>0.00828463422820516</v>
      </c>
      <c r="H83" s="21" t="n">
        <f aca="false">(G83-F83)*100</f>
        <v>-0.214434391792587</v>
      </c>
      <c r="I83" s="21" t="n">
        <f aca="false">D83/B$97*100</f>
        <v>-0.262428439621165</v>
      </c>
      <c r="J83" s="16" t="n">
        <v>4885.90322580645</v>
      </c>
      <c r="K83" s="16" t="n">
        <v>3520</v>
      </c>
      <c r="L83" s="14" t="n">
        <f aca="false">IF(J83&lt;1,"new",K83/J83-1)</f>
        <v>-0.279560024560454</v>
      </c>
      <c r="M83" s="14" t="n">
        <f aca="false">IF(OR(J83&lt;1,K83&lt;1,B83&lt;=0),"n/a",(C83/K83)/(B83/J83)-1)</f>
        <v>0.0387626035306541</v>
      </c>
    </row>
    <row r="84" customFormat="false" ht="15" hidden="false" customHeight="false" outlineLevel="0" collapsed="false">
      <c r="A84" s="4" t="s">
        <v>196</v>
      </c>
      <c r="B84" s="12" t="n">
        <v>2.61667821136897</v>
      </c>
      <c r="C84" s="12" t="n">
        <v>1.65741766126169</v>
      </c>
      <c r="D84" s="10" t="n">
        <f aca="false">C84-B84</f>
        <v>-0.959260550107277</v>
      </c>
      <c r="E84" s="14" t="n">
        <f aca="false">IF(B84&lt;0.05,"new",C84/B84-1)</f>
        <v>-0.366594771164247</v>
      </c>
      <c r="F84" s="14" t="n">
        <f aca="false">B84/B$97</f>
        <v>0.00665149281875469</v>
      </c>
      <c r="G84" s="14" t="n">
        <f aca="false">C84/C$97</f>
        <v>0.00447216937407367</v>
      </c>
      <c r="H84" s="21" t="n">
        <f aca="false">(G84-F84)*100</f>
        <v>-0.217932344468102</v>
      </c>
      <c r="I84" s="21" t="n">
        <f aca="false">D84/B$97*100</f>
        <v>-0.243840248779201</v>
      </c>
      <c r="J84" s="16" t="n">
        <v>2815.83870967742</v>
      </c>
      <c r="K84" s="16" t="n">
        <v>1580.69194369159</v>
      </c>
      <c r="L84" s="14" t="n">
        <f aca="false">IF(J84&lt;1,"new",K84/J84-1)</f>
        <v>-0.438642583376987</v>
      </c>
      <c r="M84" s="14" t="n">
        <f aca="false">IF(OR(J84&lt;1,K84&lt;1,B84&lt;=0),"n/a",(C84/K84)/(B84/J84)-1)</f>
        <v>0.128345702896672</v>
      </c>
    </row>
    <row r="85" customFormat="false" ht="15" hidden="false" customHeight="false" outlineLevel="0" collapsed="false">
      <c r="A85" s="4" t="s">
        <v>197</v>
      </c>
      <c r="B85" s="12" t="n">
        <v>1.51343922173388</v>
      </c>
      <c r="C85" s="12" t="n">
        <v>1.63385418095709</v>
      </c>
      <c r="D85" s="10" t="n">
        <f aca="false">C85-B85</f>
        <v>0.120414959223215</v>
      </c>
      <c r="E85" s="14" t="n">
        <f aca="false">IF(B85&lt;0.05,"new",C85/B85-1)</f>
        <v>0.0795637892120051</v>
      </c>
      <c r="F85" s="14" t="n">
        <f aca="false">B85/B$97</f>
        <v>0.00384710281579408</v>
      </c>
      <c r="G85" s="14" t="n">
        <f aca="false">C85/C$97</f>
        <v>0.00440858861381763</v>
      </c>
      <c r="H85" s="21" t="n">
        <f aca="false">(G85-F85)*100</f>
        <v>0.056148579802355</v>
      </c>
      <c r="I85" s="21" t="n">
        <f aca="false">D85/B$97*100</f>
        <v>0.0306090077512751</v>
      </c>
      <c r="J85" s="16" t="n">
        <v>4246.54838709678</v>
      </c>
      <c r="K85" s="16" t="n">
        <v>3963.69982367003</v>
      </c>
      <c r="L85" s="14" t="n">
        <f aca="false">IF(J85&lt;1,"new",K85/J85-1)</f>
        <v>-0.0666066974030464</v>
      </c>
      <c r="M85" s="14" t="n">
        <f aca="false">IF(OR(J85&lt;1,K85&lt;1,B85&lt;=0),"n/a",(C85/K85)/(B85/J85)-1)</f>
        <v>0.156601173597845</v>
      </c>
    </row>
    <row r="86" customFormat="false" ht="15" hidden="false" customHeight="false" outlineLevel="0" collapsed="false">
      <c r="A86" s="4" t="s">
        <v>198</v>
      </c>
      <c r="B86" s="12" t="n">
        <v>0.88054399441955</v>
      </c>
      <c r="C86" s="12" t="n">
        <v>0.856179947689053</v>
      </c>
      <c r="D86" s="10" t="n">
        <f aca="false">C86-B86</f>
        <v>-0.0243640467304963</v>
      </c>
      <c r="E86" s="14" t="n">
        <f aca="false">IF(B86&lt;0.05,"new",C86/B86-1)</f>
        <v>-0.0276693122489092</v>
      </c>
      <c r="F86" s="14" t="n">
        <f aca="false">B86/B$97</f>
        <v>0.00223830810759686</v>
      </c>
      <c r="G86" s="14" t="n">
        <f aca="false">C86/C$97</f>
        <v>0.00231020932758507</v>
      </c>
      <c r="H86" s="21" t="n">
        <f aca="false">(G86-F86)*100</f>
        <v>0.00719012199882092</v>
      </c>
      <c r="I86" s="21" t="n">
        <f aca="false">D86/B$97*100</f>
        <v>-0.00619324459383626</v>
      </c>
      <c r="J86" s="16" t="n">
        <v>136074.032258065</v>
      </c>
      <c r="K86" s="16" t="n">
        <v>133059</v>
      </c>
      <c r="L86" s="14" t="n">
        <f aca="false">IF(J86&lt;1,"new",K86/J86-1)</f>
        <v>-0.0221572934088297</v>
      </c>
      <c r="M86" s="14" t="n">
        <f aca="false">IF(OR(J86&lt;1,K86&lt;1,B86&lt;=0),"n/a",(C86/K86)/(B86/J86)-1)</f>
        <v>-0.00563691767901486</v>
      </c>
    </row>
    <row r="87" customFormat="false" ht="15" hidden="false" customHeight="false" outlineLevel="0" collapsed="false">
      <c r="A87" s="4" t="s">
        <v>199</v>
      </c>
      <c r="B87" s="12" t="n">
        <v>0.937838590234811</v>
      </c>
      <c r="C87" s="12" t="n">
        <v>0.560338313044623</v>
      </c>
      <c r="D87" s="10" t="n">
        <f aca="false">C87-B87</f>
        <v>-0.377500277190188</v>
      </c>
      <c r="E87" s="14" t="n">
        <f aca="false">IF(B87&lt;0.05,"new",C87/B87-1)</f>
        <v>-0.402521586465824</v>
      </c>
      <c r="F87" s="14" t="n">
        <f aca="false">B87/B$97</f>
        <v>0.002383948710619</v>
      </c>
      <c r="G87" s="14" t="n">
        <f aca="false">C87/C$97</f>
        <v>0.00151194710982545</v>
      </c>
      <c r="H87" s="21" t="n">
        <f aca="false">(G87-F87)*100</f>
        <v>-0.0872001600793546</v>
      </c>
      <c r="I87" s="21" t="n">
        <f aca="false">D87/B$97*100</f>
        <v>-0.0959590817051515</v>
      </c>
      <c r="J87" s="16" t="n">
        <v>793.451612903226</v>
      </c>
      <c r="K87" s="16" t="n">
        <v>471.667922071553</v>
      </c>
      <c r="L87" s="14" t="n">
        <f aca="false">IF(J87&lt;1,"new",K87/J87-1)</f>
        <v>-0.40554923022246</v>
      </c>
      <c r="M87" s="14" t="n">
        <f aca="false">IF(OR(J87&lt;1,K87&lt;1,B87&lt;=0),"n/a",(C87/K87)/(B87/J87)-1)</f>
        <v>0.00509317829257583</v>
      </c>
    </row>
    <row r="88" customFormat="false" ht="15" hidden="false" customHeight="false" outlineLevel="0" collapsed="false">
      <c r="A88" s="4" t="s">
        <v>200</v>
      </c>
      <c r="B88" s="12" t="n">
        <v>0.418808242649731</v>
      </c>
      <c r="C88" s="12" t="n">
        <v>0.375830938506141</v>
      </c>
      <c r="D88" s="10" t="n">
        <f aca="false">C88-B88</f>
        <v>-0.0429773041435894</v>
      </c>
      <c r="E88" s="14" t="n">
        <f aca="false">IF(B88&lt;0.05,"new",C88/B88-1)</f>
        <v>-0.102618095268802</v>
      </c>
      <c r="F88" s="14" t="n">
        <f aca="false">B88/B$97</f>
        <v>0.00106459403617786</v>
      </c>
      <c r="G88" s="14" t="n">
        <f aca="false">C88/C$97</f>
        <v>0.00101409539206735</v>
      </c>
      <c r="H88" s="21" t="n">
        <f aca="false">(G88-F88)*100</f>
        <v>-0.00504986441105071</v>
      </c>
      <c r="I88" s="21" t="n">
        <f aca="false">D88/B$97*100</f>
        <v>-0.0109246612227098</v>
      </c>
      <c r="J88" s="16" t="n">
        <v>744.612903225807</v>
      </c>
      <c r="K88" s="16" t="n">
        <v>652.538296501077</v>
      </c>
      <c r="L88" s="14" t="n">
        <f aca="false">IF(J88&lt;1,"new",K88/J88-1)</f>
        <v>-0.123654326061024</v>
      </c>
      <c r="M88" s="14" t="n">
        <f aca="false">IF(OR(J88&lt;1,K88&lt;1,B88&lt;=0),"n/a",(C88/K88)/(B88/J88)-1)</f>
        <v>0.0240044898010048</v>
      </c>
    </row>
    <row r="89" customFormat="false" ht="15" hidden="false" customHeight="false" outlineLevel="0" collapsed="false">
      <c r="A89" s="4" t="s">
        <v>201</v>
      </c>
      <c r="B89" s="12" t="n">
        <v>0.31191700469167</v>
      </c>
      <c r="C89" s="12" t="n">
        <v>0.153945801358179</v>
      </c>
      <c r="D89" s="10" t="n">
        <f aca="false">C89-B89</f>
        <v>-0.157971203333491</v>
      </c>
      <c r="E89" s="14" t="n">
        <f aca="false">IF(B89&lt;0.05,"new",C89/B89-1)</f>
        <v>-0.506452681185643</v>
      </c>
      <c r="F89" s="14" t="n">
        <f aca="false">B89/B$97</f>
        <v>0.000792880724783002</v>
      </c>
      <c r="G89" s="14" t="n">
        <f aca="false">C89/C$97</f>
        <v>0.000415388175348141</v>
      </c>
      <c r="H89" s="21" t="n">
        <f aca="false">(G89-F89)*100</f>
        <v>-0.0377492549434861</v>
      </c>
      <c r="I89" s="21" t="n">
        <f aca="false">D89/B$97*100</f>
        <v>-0.0401556568926768</v>
      </c>
      <c r="J89" s="16" t="n">
        <v>177.41935483871</v>
      </c>
      <c r="K89" s="16" t="n">
        <v>87.0291090941772</v>
      </c>
      <c r="L89" s="14" t="n">
        <f aca="false">IF(J89&lt;1,"new",K89/J89-1)</f>
        <v>-0.509472294196456</v>
      </c>
      <c r="M89" s="14" t="n">
        <f aca="false">IF(OR(J89&lt;1,K89&lt;1,B89&lt;=0),"n/a",(C89/K89)/(B89/J89)-1)</f>
        <v>0.00615584599011809</v>
      </c>
    </row>
    <row r="90" customFormat="false" ht="15" hidden="false" customHeight="false" outlineLevel="0" collapsed="false">
      <c r="A90" s="4" t="s">
        <v>167</v>
      </c>
      <c r="B90" s="12" t="n">
        <v>1.93916022790448</v>
      </c>
      <c r="C90" s="12" t="n">
        <v>0.148260048750397</v>
      </c>
      <c r="D90" s="10" t="n">
        <f aca="false">C90-B90</f>
        <v>-1.79090017915409</v>
      </c>
      <c r="E90" s="14" t="n">
        <f aca="false">IF(B90&lt;0.05,"new",C90/B90-1)</f>
        <v>-0.923544198866634</v>
      </c>
      <c r="F90" s="14" t="n">
        <f aca="false">B90/B$97</f>
        <v>0.00492926882422175</v>
      </c>
      <c r="G90" s="14" t="n">
        <f aca="false">C90/C$97</f>
        <v>0.000400046448711946</v>
      </c>
      <c r="H90" s="21" t="n">
        <f aca="false">(G90-F90)*100</f>
        <v>-0.452922237550981</v>
      </c>
      <c r="I90" s="21" t="n">
        <f aca="false">D90/B$97*100</f>
        <v>-0.455239762726416</v>
      </c>
      <c r="J90" s="16" t="n">
        <v>2477</v>
      </c>
      <c r="K90" s="16" t="n">
        <v>122</v>
      </c>
      <c r="L90" s="14" t="n">
        <f aca="false">IF(J90&lt;1,"new",K90/J90-1)</f>
        <v>-0.95074687121518</v>
      </c>
      <c r="M90" s="14" t="n">
        <f aca="false">IF(OR(J90&lt;1,K90&lt;1,B90&lt;=0),"n/a",(C90/K90)/(B90/J90)-1)</f>
        <v>0.552303437765139</v>
      </c>
    </row>
    <row r="91" customFormat="false" ht="15" hidden="false" customHeight="false" outlineLevel="0" collapsed="false">
      <c r="A91" s="4" t="s">
        <v>202</v>
      </c>
      <c r="B91" s="12" t="n">
        <v>6.04509256152293</v>
      </c>
      <c r="C91" s="12" t="n">
        <v>0.0291799540945038</v>
      </c>
      <c r="D91" s="10" t="n">
        <f aca="false">C91-B91</f>
        <v>-6.01591260742843</v>
      </c>
      <c r="E91" s="14" t="n">
        <f aca="false">IF(B91&lt;0.05,"new",C91/B91-1)</f>
        <v>-0.995172951646723</v>
      </c>
      <c r="F91" s="14" t="n">
        <f aca="false">B91/B$97</f>
        <v>0.0153663868896746</v>
      </c>
      <c r="G91" s="14" t="n">
        <f aca="false">C91/C$97</f>
        <v>7.87355535592494E-005</v>
      </c>
      <c r="H91" s="21" t="n">
        <f aca="false">(G91-F91)*100</f>
        <v>-1.52876513361153</v>
      </c>
      <c r="I91" s="21" t="n">
        <f aca="false">D91/B$97*100</f>
        <v>-1.5292212597143</v>
      </c>
      <c r="J91" s="16" t="n">
        <v>35114.6774193548</v>
      </c>
      <c r="K91" s="16" t="n">
        <v>194</v>
      </c>
      <c r="L91" s="14" t="n">
        <f aca="false">IF(J91&lt;1,"new",K91/J91-1)</f>
        <v>-0.994475244705137</v>
      </c>
      <c r="M91" s="14" t="n">
        <f aca="false">IF(OR(J91&lt;1,K91&lt;1,B91&lt;=0),"n/a",(C91/K91)/(B91/J91)-1)</f>
        <v>-0.126287392716829</v>
      </c>
    </row>
    <row r="92" customFormat="false" ht="15" hidden="false" customHeight="false" outlineLevel="0" collapsed="false">
      <c r="A92" s="4" t="s">
        <v>203</v>
      </c>
      <c r="B92" s="12" t="n">
        <v>4.83317062026593</v>
      </c>
      <c r="C92" s="12" t="n">
        <v>0.0185620794921831</v>
      </c>
      <c r="D92" s="10" t="n">
        <f aca="false">C92-B92</f>
        <v>-4.81460854077375</v>
      </c>
      <c r="E92" s="14" t="n">
        <f aca="false">IF(B92&lt;0.05,"new",C92/B92-1)</f>
        <v>-0.996159440468675</v>
      </c>
      <c r="F92" s="14" t="n">
        <f aca="false">B92/B$97</f>
        <v>0.0122857291098458</v>
      </c>
      <c r="G92" s="14" t="n">
        <f aca="false">C92/C$97</f>
        <v>5.00856032636155E-005</v>
      </c>
      <c r="H92" s="21" t="n">
        <f aca="false">(G92-F92)*100</f>
        <v>-1.22356435065822</v>
      </c>
      <c r="I92" s="21" t="n">
        <f aca="false">D92/B$97*100</f>
        <v>-1.22385450358137</v>
      </c>
      <c r="J92" s="16" t="n">
        <v>16878.7096774194</v>
      </c>
      <c r="K92" s="16" t="n">
        <v>63</v>
      </c>
      <c r="L92" s="14" t="n">
        <f aca="false">IF(J92&lt;1,"new",K92/J92-1)</f>
        <v>-0.996267487195169</v>
      </c>
      <c r="M92" s="14" t="n">
        <f aca="false">IF(OR(J92&lt;1,K92&lt;1,B92&lt;=0),"n/a",(C92/K92)/(B92/J92)-1)</f>
        <v>0.0289474496521174</v>
      </c>
    </row>
    <row r="93" customFormat="false" ht="15" hidden="false" customHeight="false" outlineLevel="0" collapsed="false">
      <c r="A93" s="4" t="s">
        <v>204</v>
      </c>
      <c r="B93" s="12" t="n">
        <v>5.74574364014267</v>
      </c>
      <c r="C93" s="12" t="n">
        <v>0.00143302235687712</v>
      </c>
      <c r="D93" s="10" t="n">
        <f aca="false">C93-B93</f>
        <v>-5.74431061778579</v>
      </c>
      <c r="E93" s="14" t="n">
        <f aca="false">IF(B93&lt;0.05,"new",C93/B93-1)</f>
        <v>-0.999750594101194</v>
      </c>
      <c r="F93" s="14" t="n">
        <f aca="false">B93/B$97</f>
        <v>0.0146054537370187</v>
      </c>
      <c r="G93" s="14" t="n">
        <f aca="false">C93/C$97</f>
        <v>3.86668903474226E-006</v>
      </c>
      <c r="H93" s="21" t="n">
        <f aca="false">(G93-F93)*100</f>
        <v>-1.4601587047984</v>
      </c>
      <c r="I93" s="21" t="n">
        <f aca="false">D93/B$97*100</f>
        <v>-1.4601811050702</v>
      </c>
      <c r="J93" s="16" t="n">
        <v>17920.2903225806</v>
      </c>
      <c r="K93" s="16" t="n">
        <v>4</v>
      </c>
      <c r="L93" s="14" t="n">
        <f aca="false">IF(J93&lt;1,"new",K93/J93-1)</f>
        <v>-0.99977678933053</v>
      </c>
      <c r="M93" s="14" t="n">
        <f aca="false">IF(OR(J93&lt;1,K93&lt;1,B93&lt;=0),"n/a",(C93/K93)/(B93/J93)-1)</f>
        <v>0.117356528690738</v>
      </c>
    </row>
    <row r="94" customFormat="false" ht="15" hidden="false" customHeight="false" outlineLevel="0" collapsed="false">
      <c r="A94" s="4" t="s">
        <v>205</v>
      </c>
      <c r="B94" s="12" t="n">
        <v>0.450825545248231</v>
      </c>
      <c r="C94" s="12" t="n">
        <v>0</v>
      </c>
      <c r="D94" s="10" t="n">
        <f aca="false">C94-B94</f>
        <v>-0.450825545248231</v>
      </c>
      <c r="E94" s="14" t="n">
        <f aca="false">IF(B94&lt;0.05,"new",C94/B94-1)</f>
        <v>-1</v>
      </c>
      <c r="F94" s="14" t="n">
        <f aca="false">B94/B$97</f>
        <v>0.00114598075670947</v>
      </c>
      <c r="G94" s="14" t="n">
        <f aca="false">C94/C$97</f>
        <v>0</v>
      </c>
      <c r="H94" s="21" t="n">
        <f aca="false">(G94-F94)*100</f>
        <v>-0.114598075670947</v>
      </c>
      <c r="I94" s="21" t="n">
        <f aca="false">D94/B$97*100</f>
        <v>-0.114598075670947</v>
      </c>
      <c r="J94" s="16" t="n">
        <v>1430</v>
      </c>
      <c r="K94" s="16" t="n">
        <v>0</v>
      </c>
      <c r="L94" s="14" t="n">
        <f aca="false">IF(J94&lt;1,"new",K94/J94-1)</f>
        <v>-1</v>
      </c>
      <c r="M94" s="14" t="str">
        <f aca="false">IF(OR(J94&lt;1,K94&lt;1,B94&lt;=0),"n/a",(C94/K94)/(B94/J94)-1)</f>
        <v>n/a</v>
      </c>
    </row>
    <row r="95" customFormat="false" ht="15" hidden="false" customHeight="false" outlineLevel="0" collapsed="false">
      <c r="A95" s="4" t="s">
        <v>206</v>
      </c>
      <c r="B95" s="12" t="n">
        <v>1.39049563277004</v>
      </c>
      <c r="C95" s="12" t="n">
        <v>0</v>
      </c>
      <c r="D95" s="10" t="n">
        <f aca="false">C95-B95</f>
        <v>-1.39049563277004</v>
      </c>
      <c r="E95" s="14" t="n">
        <f aca="false">IF(B95&lt;0.05,"new",C95/B95-1)</f>
        <v>-1</v>
      </c>
      <c r="F95" s="14" t="n">
        <f aca="false">B95/B$97</f>
        <v>0.00353458506120284</v>
      </c>
      <c r="G95" s="14" t="n">
        <f aca="false">C95/C$97</f>
        <v>0</v>
      </c>
      <c r="H95" s="21" t="n">
        <f aca="false">(G95-F95)*100</f>
        <v>-0.353458506120284</v>
      </c>
      <c r="I95" s="21" t="n">
        <f aca="false">D95/B$97*100</f>
        <v>-0.353458506120284</v>
      </c>
      <c r="J95" s="16" t="n">
        <v>1802</v>
      </c>
      <c r="K95" s="16" t="n">
        <v>0</v>
      </c>
      <c r="L95" s="14" t="n">
        <f aca="false">IF(J95&lt;1,"new",K95/J95-1)</f>
        <v>-1</v>
      </c>
      <c r="M95" s="14" t="str">
        <f aca="false">IF(OR(J95&lt;1,K95&lt;1,B95&lt;=0),"n/a",(C95/K95)/(B95/J95)-1)</f>
        <v>n/a</v>
      </c>
    </row>
    <row r="96" customFormat="false" ht="15" hidden="false" customHeight="false" outlineLevel="0" collapsed="false">
      <c r="A96" s="4" t="s">
        <v>173</v>
      </c>
      <c r="B96" s="12" t="n">
        <v>1.03658456201433</v>
      </c>
      <c r="C96" s="12" t="n">
        <v>0.802722121260479</v>
      </c>
      <c r="D96" s="10" t="n">
        <f aca="false">C96-B96</f>
        <v>-0.233862440753847</v>
      </c>
      <c r="E96" s="14" t="n">
        <f aca="false">IF(B96&lt;0.05,"new",C96/B96-1)</f>
        <v>-0.225608647209059</v>
      </c>
      <c r="F96" s="14" t="n">
        <f aca="false">B96/B$97</f>
        <v>0.00263495707661474</v>
      </c>
      <c r="G96" s="14" t="n">
        <f aca="false">C96/C$97</f>
        <v>0.00216596538730002</v>
      </c>
      <c r="H96" s="21" t="n">
        <f aca="false">(G96-F96)*100</f>
        <v>-0.0468991689314723</v>
      </c>
      <c r="I96" s="21" t="n">
        <f aca="false">D96/B$97*100</f>
        <v>-0.0594469101508988</v>
      </c>
      <c r="J96" s="16" t="n">
        <v>39137.8709677419</v>
      </c>
      <c r="K96" s="16" t="n">
        <v>25498.8262397873</v>
      </c>
      <c r="L96" s="14" t="n">
        <f aca="false">IF(J96&lt;1,"new",K96/J96-1)</f>
        <v>-0.348487140222732</v>
      </c>
      <c r="M96" s="14" t="n">
        <f aca="false">IF(OR(J96&lt;1,K96&lt;1,B96&lt;=0),"n/a",(C96/K96)/(B96/J96)-1)</f>
        <v>0.188604862006379</v>
      </c>
    </row>
    <row r="97" customFormat="false" ht="15" hidden="false" customHeight="false" outlineLevel="0" collapsed="false">
      <c r="A97" s="7" t="s">
        <v>83</v>
      </c>
      <c r="B97" s="13" t="n">
        <f aca="false">SUM(B65:B96)</f>
        <v>393.397133947273</v>
      </c>
      <c r="C97" s="13" t="n">
        <f aca="false">SUM(C65:C96)</f>
        <v>370.6070863215</v>
      </c>
      <c r="D97" s="13" t="n">
        <f aca="false">SUM(D65:D96)</f>
        <v>-22.7900476257736</v>
      </c>
      <c r="E97" s="19" t="n">
        <f aca="false">C97/B97-1</f>
        <v>-0.0579314022883252</v>
      </c>
      <c r="I97" s="22" t="n">
        <f aca="false">SUM(I65:I96)</f>
        <v>-5.79314022883251</v>
      </c>
      <c r="J97" s="23" t="n">
        <f aca="false">SUM(J65:J96)</f>
        <v>944211.225806452</v>
      </c>
      <c r="K97" s="23" t="n">
        <f aca="false">SUM(K65:K96)</f>
        <v>867285.530394081</v>
      </c>
      <c r="L97" s="19" t="n">
        <f aca="false">K97/J97-1</f>
        <v>-0.0814708545184563</v>
      </c>
      <c r="M97" s="19" t="n">
        <f aca="false">(C97/K97)/(B97/J97)-1</f>
        <v>0.0256273329441175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95"/>
  </cols>
  <sheetData>
    <row r="1" customFormat="false" ht="15" hidden="false" customHeight="false" outlineLevel="0" collapsed="false">
      <c r="A1" s="1" t="s">
        <v>207</v>
      </c>
    </row>
    <row r="3" customFormat="false" ht="15" hidden="false" customHeight="false" outlineLevel="0" collapsed="false">
      <c r="A3" s="7" t="s">
        <v>208</v>
      </c>
    </row>
    <row r="4" customFormat="false" ht="15" hidden="false" customHeight="false" outlineLevel="0" collapsed="false">
      <c r="A4" s="3" t="s">
        <v>209</v>
      </c>
      <c r="B4" s="3" t="s">
        <v>210</v>
      </c>
      <c r="C4" s="3" t="s">
        <v>211</v>
      </c>
      <c r="D4" s="3" t="s">
        <v>212</v>
      </c>
    </row>
    <row r="5" customFormat="false" ht="15" hidden="false" customHeight="false" outlineLevel="0" collapsed="false">
      <c r="A5" s="24" t="n">
        <v>-0.05</v>
      </c>
      <c r="B5" s="10" t="n">
        <f aca="false">Model!$E$19+Model!$F$19*(1+A5)</f>
        <v>4923.56744599047</v>
      </c>
      <c r="C5" s="10" t="n">
        <f aca="false">B5-Model!$B$3</f>
        <v>-76.4325540095342</v>
      </c>
      <c r="D5" s="4" t="str">
        <f aca="false">IF(C5&gt;=0,"Yes","No")</f>
        <v>No</v>
      </c>
    </row>
    <row r="6" customFormat="false" ht="15" hidden="false" customHeight="false" outlineLevel="0" collapsed="false">
      <c r="A6" s="24" t="n">
        <v>-0.03</v>
      </c>
      <c r="B6" s="10" t="n">
        <f aca="false">Model!$E$19+Model!$F$19*(1+A6)</f>
        <v>4945.95839457469</v>
      </c>
      <c r="C6" s="10" t="n">
        <f aca="false">B6-Model!$B$3</f>
        <v>-54.0416054253146</v>
      </c>
      <c r="D6" s="4" t="str">
        <f aca="false">IF(C6&gt;=0,"Yes","No")</f>
        <v>No</v>
      </c>
    </row>
    <row r="7" customFormat="false" ht="15" hidden="false" customHeight="false" outlineLevel="0" collapsed="false">
      <c r="A7" s="24" t="n">
        <v>-0.01</v>
      </c>
      <c r="B7" s="10" t="n">
        <f aca="false">Model!$E$19+Model!$F$19*(1+A7)</f>
        <v>4968.34934315891</v>
      </c>
      <c r="C7" s="10" t="n">
        <f aca="false">B7-Model!$B$3</f>
        <v>-31.6506568410941</v>
      </c>
      <c r="D7" s="4" t="str">
        <f aca="false">IF(C7&gt;=0,"Yes","No")</f>
        <v>No</v>
      </c>
    </row>
    <row r="8" customFormat="false" ht="15" hidden="false" customHeight="false" outlineLevel="0" collapsed="false">
      <c r="A8" s="24" t="n">
        <v>0</v>
      </c>
      <c r="B8" s="10" t="n">
        <f aca="false">Model!$E$19+Model!$F$19*(1+A8)</f>
        <v>4979.54481745102</v>
      </c>
      <c r="C8" s="10" t="n">
        <f aca="false">B8-Model!$B$3</f>
        <v>-20.4551825489834</v>
      </c>
      <c r="D8" s="4" t="str">
        <f aca="false">IF(C8&gt;=0,"Yes","No")</f>
        <v>No</v>
      </c>
    </row>
    <row r="9" customFormat="false" ht="15" hidden="false" customHeight="false" outlineLevel="0" collapsed="false">
      <c r="A9" s="24" t="n">
        <v>0.018</v>
      </c>
      <c r="B9" s="10" t="n">
        <f aca="false">Model!$E$19+Model!$F$19*(1+A9)</f>
        <v>4999.69667117682</v>
      </c>
      <c r="C9" s="10" t="n">
        <f aca="false">B9-Model!$B$3</f>
        <v>-0.303328823185439</v>
      </c>
      <c r="D9" s="4" t="str">
        <f aca="false">IF(C9&gt;=0,"Yes","No")</f>
        <v>No</v>
      </c>
    </row>
    <row r="10" customFormat="false" ht="15" hidden="false" customHeight="false" outlineLevel="0" collapsed="false">
      <c r="A10" s="24" t="n">
        <v>0.033</v>
      </c>
      <c r="B10" s="10" t="n">
        <f aca="false">Model!$E$19+Model!$F$19*(1+A10)</f>
        <v>5016.48988261498</v>
      </c>
      <c r="C10" s="10" t="n">
        <f aca="false">B10-Model!$B$3</f>
        <v>16.4898826149802</v>
      </c>
      <c r="D10" s="4" t="str">
        <f aca="false">IF(C10&gt;=0,"Yes","No")</f>
        <v>Yes</v>
      </c>
    </row>
    <row r="11" customFormat="false" ht="15" hidden="false" customHeight="false" outlineLevel="0" collapsed="false">
      <c r="A11" s="24" t="n">
        <v>0.05</v>
      </c>
      <c r="B11" s="10" t="n">
        <f aca="false">Model!$E$19+Model!$F$19*(1+A11)</f>
        <v>5035.52218891157</v>
      </c>
      <c r="C11" s="10" t="n">
        <f aca="false">B11-Model!$B$3</f>
        <v>35.5221889115674</v>
      </c>
      <c r="D11" s="4" t="str">
        <f aca="false">IF(C11&gt;=0,"Yes","No")</f>
        <v>Yes</v>
      </c>
    </row>
    <row r="12" customFormat="false" ht="15" hidden="false" customHeight="false" outlineLevel="0" collapsed="false">
      <c r="A12" s="24" t="n">
        <v>0.07</v>
      </c>
      <c r="B12" s="10" t="n">
        <f aca="false">Model!$E$19+Model!$F$19*(1+A12)</f>
        <v>5057.91313749579</v>
      </c>
      <c r="C12" s="10" t="n">
        <f aca="false">B12-Model!$B$3</f>
        <v>57.9131374957879</v>
      </c>
      <c r="D12" s="4" t="str">
        <f aca="false">IF(C12&gt;=0,"Yes","No")</f>
        <v>Yes</v>
      </c>
    </row>
    <row r="14" customFormat="false" ht="15" hidden="false" customHeight="false" outlineLevel="0" collapsed="false">
      <c r="A14" s="7" t="s">
        <v>213</v>
      </c>
      <c r="B14" s="20" t="n">
        <f aca="false">Model!B28</f>
        <v>0.0182709387876485</v>
      </c>
    </row>
    <row r="15" customFormat="false" ht="15" hidden="false" customHeight="false" outlineLevel="0" collapsed="false">
      <c r="A15" s="7" t="s">
        <v>10</v>
      </c>
      <c r="B15" s="20" t="n">
        <f aca="false">Model!B29</f>
        <v>0.0333272521375616</v>
      </c>
    </row>
    <row r="17" customFormat="false" ht="15" hidden="false" customHeight="false" outlineLevel="0" collapsed="false">
      <c r="A17" s="7" t="s">
        <v>214</v>
      </c>
    </row>
    <row r="18" customFormat="false" ht="15" hidden="false" customHeight="false" outlineLevel="0" collapsed="false">
      <c r="A18" s="4" t="s">
        <v>215</v>
      </c>
      <c r="B18" s="5" t="n">
        <f aca="false">Monthly_Data!N13</f>
        <v>573.964288356179</v>
      </c>
    </row>
    <row r="19" customFormat="false" ht="15" hidden="false" customHeight="false" outlineLevel="0" collapsed="false">
      <c r="A19" s="4" t="s">
        <v>216</v>
      </c>
      <c r="B19" s="10" t="n">
        <f aca="false">B18*Model!J19/Model!F19</f>
        <v>593.092940912182</v>
      </c>
    </row>
    <row r="20" customFormat="false" ht="15" hidden="false" customHeight="false" outlineLevel="0" collapsed="false">
      <c r="A20" s="4" t="s">
        <v>217</v>
      </c>
      <c r="B20" s="14" t="n">
        <f aca="false">B19/Model!J19</f>
        <v>0.512675276973903</v>
      </c>
    </row>
    <row r="21" customFormat="false" ht="15" hidden="false" customHeight="false" outlineLevel="0" collapsed="false">
      <c r="A21" s="4" t="s">
        <v>218</v>
      </c>
      <c r="B21" s="14" t="n">
        <f aca="false">Model!B24/B19</f>
        <v>0.0284209366551665</v>
      </c>
    </row>
    <row r="22" customFormat="false" ht="15" hidden="false" customHeight="false" outlineLevel="0" collapsed="false">
      <c r="A22" s="4" t="s">
        <v>219</v>
      </c>
      <c r="B22" s="10" t="n">
        <f aca="false">B19*0.01</f>
        <v>5.93092940912182</v>
      </c>
    </row>
    <row r="24" customFormat="false" ht="15" hidden="false" customHeight="false" outlineLevel="0" collapsed="false">
      <c r="A24" s="7" t="s">
        <v>220</v>
      </c>
    </row>
    <row r="25" customFormat="false" ht="30" hidden="false" customHeight="true" outlineLevel="0" collapsed="false">
      <c r="A25" s="3" t="s">
        <v>221</v>
      </c>
      <c r="B25" s="3" t="s">
        <v>222</v>
      </c>
      <c r="C25" s="3" t="s">
        <v>223</v>
      </c>
      <c r="D25" s="3" t="s">
        <v>224</v>
      </c>
      <c r="E25" s="3" t="s">
        <v>225</v>
      </c>
    </row>
    <row r="26" customFormat="false" ht="43.5" hidden="false" customHeight="true" outlineLevel="0" collapsed="false">
      <c r="A26" s="4" t="s">
        <v>226</v>
      </c>
      <c r="B26" s="10" t="n">
        <f aca="false">Model!J11</f>
        <v>916.635172703307</v>
      </c>
      <c r="C26" s="24" t="n">
        <v>0.01</v>
      </c>
      <c r="D26" s="10" t="n">
        <f aca="false">B26*C26</f>
        <v>9.16635172703307</v>
      </c>
      <c r="E26" s="25" t="s">
        <v>227</v>
      </c>
    </row>
    <row r="27" customFormat="false" ht="43.5" hidden="false" customHeight="true" outlineLevel="0" collapsed="false">
      <c r="A27" s="4" t="s">
        <v>228</v>
      </c>
      <c r="B27" s="10" t="n">
        <f aca="false">(84.2594+10.5804)*Model!$J$11/Model!$F$11</f>
        <v>96.8311551453625</v>
      </c>
      <c r="C27" s="24" t="n">
        <v>0.03</v>
      </c>
      <c r="D27" s="10" t="n">
        <f aca="false">B27*C27</f>
        <v>2.90493465436087</v>
      </c>
      <c r="E27" s="25" t="s">
        <v>229</v>
      </c>
    </row>
    <row r="28" customFormat="false" ht="43.5" hidden="false" customHeight="true" outlineLevel="0" collapsed="false">
      <c r="A28" s="4" t="s">
        <v>230</v>
      </c>
      <c r="B28" s="10" t="n">
        <f aca="false">Monthly_Data!N9*Model!$J$15/Model!$F$15</f>
        <v>74.9126125613914</v>
      </c>
      <c r="C28" s="24" t="n">
        <v>0.05</v>
      </c>
      <c r="D28" s="10" t="n">
        <f aca="false">B28*C28</f>
        <v>3.74563062806957</v>
      </c>
      <c r="E28" s="25" t="s">
        <v>231</v>
      </c>
    </row>
    <row r="29" customFormat="false" ht="43.5" hidden="false" customHeight="true" outlineLevel="0" collapsed="false">
      <c r="A29" s="4" t="s">
        <v>232</v>
      </c>
      <c r="B29" s="10" t="n">
        <f aca="false">99.0373*Model!$J$11/Model!$F$11</f>
        <v>101.116790223912</v>
      </c>
      <c r="C29" s="24" t="n">
        <v>0.07</v>
      </c>
      <c r="D29" s="10" t="n">
        <f aca="false">B29*C29</f>
        <v>7.07817531567387</v>
      </c>
      <c r="E29" s="25" t="s">
        <v>233</v>
      </c>
    </row>
    <row r="30" customFormat="false" ht="43.5" hidden="false" customHeight="true" outlineLevel="0" collapsed="false">
      <c r="A30" s="4" t="s">
        <v>234</v>
      </c>
      <c r="B30" s="10" t="n">
        <f aca="false">(Monthly_Data!W7-AVERAGE(Monthly_Data!U7:W7))*Model!I13</f>
        <v>4.18410914728486</v>
      </c>
      <c r="C30" s="26" t="n">
        <v>1</v>
      </c>
      <c r="D30" s="10" t="n">
        <f aca="false">B30*C30</f>
        <v>4.18410914728486</v>
      </c>
      <c r="E30" s="25" t="s">
        <v>235</v>
      </c>
    </row>
    <row r="31" customFormat="false" ht="43.5" hidden="false" customHeight="true" outlineLevel="0" collapsed="false">
      <c r="A31" s="4" t="s">
        <v>236</v>
      </c>
      <c r="B31" s="10" t="n">
        <f aca="false">17.4492</f>
        <v>17.4492</v>
      </c>
      <c r="C31" s="24" t="n">
        <v>0.126</v>
      </c>
      <c r="D31" s="10" t="n">
        <f aca="false">B31*C31</f>
        <v>2.1985992</v>
      </c>
      <c r="E31" s="25" t="s">
        <v>237</v>
      </c>
    </row>
    <row r="32" customFormat="false" ht="15" hidden="false" customHeight="false" outlineLevel="0" collapsed="false">
      <c r="A32" s="7" t="s">
        <v>238</v>
      </c>
      <c r="D32" s="13" t="n">
        <f aca="false">SUM(D26:D31)</f>
        <v>29.2778006724223</v>
      </c>
    </row>
    <row r="33" customFormat="false" ht="15" hidden="false" customHeight="false" outlineLevel="0" collapsed="false">
      <c r="A33" s="7" t="s">
        <v>239</v>
      </c>
      <c r="D33" s="11" t="n">
        <f aca="false">Model!K19</f>
        <v>5016.85625690429</v>
      </c>
    </row>
    <row r="34" customFormat="false" ht="15" hidden="false" customHeight="false" outlineLevel="0" collapsed="false">
      <c r="A34" s="7" t="s">
        <v>240</v>
      </c>
      <c r="D34" s="11" t="n">
        <f aca="false">D33+D32</f>
        <v>5046.13405757671</v>
      </c>
    </row>
    <row r="35" customFormat="false" ht="15" hidden="false" customHeight="false" outlineLevel="0" collapsed="false">
      <c r="A35" s="7" t="s">
        <v>241</v>
      </c>
      <c r="D35" s="11" t="n">
        <f aca="false">D34-Model!B3</f>
        <v>46.1340575767135</v>
      </c>
    </row>
    <row r="36" customFormat="false" ht="15" hidden="false" customHeight="false" outlineLevel="0" collapsed="false">
      <c r="A36" s="7" t="s">
        <v>242</v>
      </c>
      <c r="D36" s="20" t="n">
        <f aca="false">D35/Model!B3</f>
        <v>0.00922681151534271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80"/>
  </cols>
  <sheetData>
    <row r="1" customFormat="false" ht="15" hidden="false" customHeight="false" outlineLevel="0" collapsed="false">
      <c r="A1" s="1" t="s">
        <v>243</v>
      </c>
    </row>
    <row r="3" customFormat="false" ht="23.85" hidden="false" customHeight="false" outlineLevel="0" collapsed="false">
      <c r="A3" s="3" t="s">
        <v>244</v>
      </c>
      <c r="B3" s="3" t="s">
        <v>245</v>
      </c>
      <c r="C3" s="3" t="s">
        <v>246</v>
      </c>
      <c r="D3" s="3" t="s">
        <v>247</v>
      </c>
      <c r="E3" s="3" t="s">
        <v>248</v>
      </c>
      <c r="F3" s="3" t="s">
        <v>249</v>
      </c>
      <c r="G3" s="3" t="s">
        <v>250</v>
      </c>
    </row>
    <row r="4" customFormat="false" ht="15" hidden="false" customHeight="false" outlineLevel="0" collapsed="false">
      <c r="A4" s="4" t="s">
        <v>251</v>
      </c>
      <c r="B4" s="16" t="n">
        <v>1881865</v>
      </c>
      <c r="C4" s="12" t="n">
        <v>2329.81570679</v>
      </c>
      <c r="D4" s="12" t="n">
        <v>2212.51546108404</v>
      </c>
      <c r="E4" s="14" t="n">
        <f aca="false">D4/C4</f>
        <v>0.94965256463672</v>
      </c>
      <c r="F4" s="27" t="n">
        <f aca="false">C4/D4</f>
        <v>1.05301668972225</v>
      </c>
      <c r="G4" s="4" t="s">
        <v>252</v>
      </c>
    </row>
    <row r="5" customFormat="false" ht="15" hidden="false" customHeight="false" outlineLevel="0" collapsed="false">
      <c r="A5" s="4" t="s">
        <v>253</v>
      </c>
      <c r="B5" s="16" t="n">
        <v>1989918</v>
      </c>
      <c r="C5" s="12" t="n">
        <v>2500.71454706</v>
      </c>
      <c r="D5" s="12" t="n">
        <v>2378.3593423021</v>
      </c>
      <c r="E5" s="14" t="n">
        <f aca="false">D5/C5</f>
        <v>0.951071902668079</v>
      </c>
      <c r="F5" s="27" t="n">
        <f aca="false">C5/D5</f>
        <v>1.05144521375793</v>
      </c>
      <c r="G5" s="4" t="s">
        <v>252</v>
      </c>
    </row>
    <row r="6" customFormat="false" ht="15" hidden="false" customHeight="false" outlineLevel="0" collapsed="false">
      <c r="A6" s="4" t="s">
        <v>254</v>
      </c>
      <c r="B6" s="16" t="n">
        <v>1931837</v>
      </c>
      <c r="C6" s="12" t="n">
        <v>2424.98143614</v>
      </c>
      <c r="D6" s="12" t="n">
        <v>2297.75589743035</v>
      </c>
      <c r="E6" s="14" t="n">
        <f aca="false">D6/C6</f>
        <v>0.947535458699359</v>
      </c>
      <c r="F6" s="27" t="n">
        <f aca="false">C6/D6</f>
        <v>1.0553694754312</v>
      </c>
      <c r="G6" s="4" t="s">
        <v>255</v>
      </c>
    </row>
    <row r="7" customFormat="false" ht="15" hidden="false" customHeight="false" outlineLevel="0" collapsed="false">
      <c r="A7" s="4" t="s">
        <v>256</v>
      </c>
      <c r="B7" s="16" t="n">
        <v>1130406</v>
      </c>
      <c r="C7" s="12" t="n">
        <v>1435.0159521</v>
      </c>
      <c r="D7" s="12" t="n">
        <v>1363.20091356203</v>
      </c>
      <c r="E7" s="14" t="n">
        <f aca="false">D7/C7</f>
        <v>0.949955233296969</v>
      </c>
      <c r="F7" s="27" t="n">
        <f aca="false">C7/D7</f>
        <v>1.05268118427996</v>
      </c>
      <c r="G7" s="4" t="s">
        <v>252</v>
      </c>
    </row>
    <row r="9" customFormat="false" ht="15" hidden="false" customHeight="true" outlineLevel="0" collapsed="false">
      <c r="A9" s="8" t="s">
        <v>257</v>
      </c>
      <c r="B9" s="8"/>
      <c r="C9" s="8"/>
      <c r="D9" s="8"/>
      <c r="E9" s="8"/>
      <c r="F9" s="8"/>
      <c r="G9" s="8"/>
    </row>
    <row r="10" customFormat="false" ht="45.75" hidden="false" customHeight="true" outlineLevel="0" collapsed="false">
      <c r="A10" s="9" t="s">
        <v>258</v>
      </c>
      <c r="B10" s="9"/>
      <c r="C10" s="9"/>
      <c r="D10" s="9"/>
      <c r="E10" s="9"/>
      <c r="F10" s="9"/>
      <c r="G10" s="9"/>
    </row>
    <row r="11" customFormat="false" ht="45.75" hidden="false" customHeight="true" outlineLevel="0" collapsed="false">
      <c r="A11" s="9" t="s">
        <v>259</v>
      </c>
      <c r="B11" s="9"/>
      <c r="C11" s="9"/>
      <c r="D11" s="9"/>
      <c r="E11" s="9"/>
      <c r="F11" s="9"/>
      <c r="G11" s="9"/>
    </row>
    <row r="12" customFormat="false" ht="45.75" hidden="false" customHeight="true" outlineLevel="0" collapsed="false">
      <c r="A12" s="9" t="s">
        <v>260</v>
      </c>
      <c r="B12" s="9"/>
      <c r="C12" s="9"/>
      <c r="D12" s="9"/>
      <c r="E12" s="9"/>
      <c r="F12" s="9"/>
      <c r="G12" s="9"/>
    </row>
    <row r="13" customFormat="false" ht="45.75" hidden="false" customHeight="true" outlineLevel="0" collapsed="false">
      <c r="A13" s="9" t="s">
        <v>261</v>
      </c>
      <c r="B13" s="9"/>
      <c r="C13" s="9"/>
      <c r="D13" s="9"/>
      <c r="E13" s="9"/>
      <c r="F13" s="9"/>
      <c r="G13" s="9"/>
    </row>
    <row r="14" customFormat="false" ht="45.75" hidden="false" customHeight="true" outlineLevel="0" collapsed="false">
      <c r="A14" s="9" t="s">
        <v>262</v>
      </c>
      <c r="B14" s="9"/>
      <c r="C14" s="9"/>
      <c r="D14" s="9"/>
      <c r="E14" s="9"/>
      <c r="F14" s="9"/>
      <c r="G14" s="9"/>
    </row>
    <row r="15" customFormat="false" ht="45.75" hidden="false" customHeight="true" outlineLevel="0" collapsed="false">
      <c r="A15" s="9" t="s">
        <v>263</v>
      </c>
      <c r="B15" s="9"/>
      <c r="C15" s="9"/>
      <c r="D15" s="9"/>
      <c r="E15" s="9"/>
      <c r="F15" s="9"/>
      <c r="G15" s="9"/>
    </row>
    <row r="16" customFormat="false" ht="45.75" hidden="false" customHeight="true" outlineLevel="0" collapsed="false">
      <c r="A16" s="9" t="s">
        <v>264</v>
      </c>
      <c r="B16" s="9"/>
      <c r="C16" s="9"/>
      <c r="D16" s="9"/>
      <c r="E16" s="9"/>
      <c r="F16" s="9"/>
      <c r="G16" s="9"/>
    </row>
  </sheetData>
  <mergeCells count="8">
    <mergeCell ref="A9:G9"/>
    <mergeCell ref="A10:G10"/>
    <mergeCell ref="A11:G11"/>
    <mergeCell ref="A12:G12"/>
    <mergeCell ref="A13:G13"/>
    <mergeCell ref="A14:G14"/>
    <mergeCell ref="A15:G15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2026-10-20T05:43:21Z</dcterms:created>
  <dc:creator>openpyxl</dc:creator>
  <dc:description/>
  <dc:language>en-US</dc:language>
  <cp:lastModifiedBy/>
  <dcterms:modified xsi:type="dcterms:W3CDTF">2026-10-20T05:43:23Z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