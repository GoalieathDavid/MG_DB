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OG_Waterfall" sheetId="2" state="visible" r:id="rId4"/>
    <sheet name="Monthly_Data" sheetId="3" state="visible" r:id="rId5"/>
    <sheet name="Model" sheetId="4" state="visible" r:id="rId6"/>
    <sheet name="YTD_SOG" sheetId="5" state="visible" r:id="rId7"/>
    <sheet name="P-Mix" sheetId="6" state="visible" r:id="rId8"/>
    <sheet name="Pareto_Categories" sheetId="7" state="visible" r:id="rId9"/>
    <sheet name="Pareto_Items" sheetId="8" state="visible" r:id="rId10"/>
    <sheet name="Item_Priorities" sheetId="9" state="visible" r:id="rId11"/>
    <sheet name="Levers_Scenarios" sheetId="10" state="visible" r:id="rId12"/>
    <sheet name="Notes_Recon"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<sst xmlns="http://schemas.openxmlformats.org/spreadsheetml/2006/main" count="2665" uniqueCount="1196">
  <si>
    <t xml:space="preserve">Mary Grace Foods Inc.: 2025 vs 2026 Sources of Growth and the PHP 5B target</t>
  </si>
  <si>
    <t xml:space="preserve">All figures PHP millions, VAT-inclusive net sales. 2026 = actual to Oct 19 plus projection to Dec 31. Detail in the tabs; chart on SOG_Waterfall.</t>
  </si>
  <si>
    <t xml:space="preserve">Key number</t>
  </si>
  <si>
    <t xml:space="preserve">Value</t>
  </si>
  <si>
    <t xml:space="preserve">FY2025 actual</t>
  </si>
  <si>
    <t xml:space="preserve">2026 YTD actual (Jan 1-Oct 19)</t>
  </si>
  <si>
    <t xml:space="preserve">2026 YTD growth vs same days of 2025</t>
  </si>
  <si>
    <t xml:space="preserve">Needed in Oct 20-Dec 31 to reach target</t>
  </si>
  <si>
    <t xml:space="preserve">Same days last year</t>
  </si>
  <si>
    <t xml:space="preserve">Growth needed in the remainder (break-even)</t>
  </si>
  <si>
    <t xml:space="preserve">Projected growth in the remainder (base case)</t>
  </si>
  <si>
    <t xml:space="preserve">FY2026 projected total</t>
  </si>
  <si>
    <t xml:space="preserve">Cushion / (gap) vs PHP 5B</t>
  </si>
  <si>
    <t xml:space="preserve">Share of YTD net growth from new stores</t>
  </si>
  <si>
    <t xml:space="preserve">Cafe same-store sales growth, YTD</t>
  </si>
  <si>
    <t xml:space="preserve">Kiosk same-store sales growth, YTD</t>
  </si>
  <si>
    <t xml:space="preserve">WHAT THE DATA SAYS</t>
  </si>
  <si>
    <t xml:space="preserve">1. New stores, not same-store growth, drive the increase: new cafes and kiosks contribute more than 100% of YTD net growth. Closing stores take away roughly 40% of it. Same-store sales are up only a little in cafes and down in kiosks.</t>
  </si>
  <si>
    <t xml:space="preserve">2. Cafe same-store growth is price-led. Beverages, All-Day Breakfast and Signature Cakes grew on higher average prices while units fell; Perfect Plates, Ensaymadas and Loaf Cakes shrank.</t>
  </si>
  <si>
    <t xml:space="preserve">3. At the current run-rate and last year's Nov-Dec peak, 2026 lands at about PHP 5.02B: on target with only a thin cushion. The target needs roughly +1.8% over last year in the final 72 days; the base case assumes about +3.3%.</t>
  </si>
  <si>
    <t xml:space="preserve">4. December carries about half of the remaining sales. A December that falls ~3% short of the projection (about flat on Dec 2025) would miss the target. Protect December first.</t>
  </si>
  <si>
    <t xml:space="preserve">5. Extra headroom comes from many small levers (see Levers_Scenarios), not one big one: traffic, December cakes and Christmas kiosks, stabilising laggard categories, new-cafe ramp, delivery.</t>
  </si>
  <si>
    <t xml:space="preserve">6. Item level (provisional until the full item pull): see Pareto_Items and Item_Priorities. About a fifth of items carry about 80% of the remaining revenue.</t>
  </si>
  <si>
    <t xml:space="preserve">Read Notes_Recon first: the Jan-Jun 2026 export hit the 1,000-row limit and was patched with estimates; re-running it will firm up the kiosk numbers.</t>
  </si>
  <si>
    <t xml:space="preserve">Sources of Growth waterfall: FY2025 baseline to FY2026 projected total (PHP millions)</t>
  </si>
  <si>
    <t xml:space="preserve">2026 Total = actual Jan 1-Oct 19 + projected Oct 20-Dec 31 (see Model). Kiosk includes the single "Others" branch. Chart y-axis starts at 4,000 so the drivers are visible; read the data labels for true sizes.</t>
  </si>
  <si>
    <t xml:space="preserve">Bar</t>
  </si>
  <si>
    <t xml:space="preserve">Type</t>
  </si>
  <si>
    <t xml:space="preserve">Value (PHP M)</t>
  </si>
  <si>
    <t xml:space="preserve">Cumulative</t>
  </si>
  <si>
    <t xml:space="preserve">Base (hidden)</t>
  </si>
  <si>
    <t xml:space="preserve">Total / baseline</t>
  </si>
  <si>
    <t xml:space="preserve">Increase</t>
  </si>
  <si>
    <t xml:space="preserve">Decrease</t>
  </si>
  <si>
    <t xml:space="preserve">Cafe Baseline</t>
  </si>
  <si>
    <t xml:space="preserve">total</t>
  </si>
  <si>
    <t xml:space="preserve">Kiosk Baseline</t>
  </si>
  <si>
    <t xml:space="preserve">float</t>
  </si>
  <si>
    <t xml:space="preserve">Cafe Same-Store</t>
  </si>
  <si>
    <t xml:space="preserve">delta</t>
  </si>
  <si>
    <t xml:space="preserve">Cafe New 2025</t>
  </si>
  <si>
    <t xml:space="preserve">Cafe New 2026</t>
  </si>
  <si>
    <t xml:space="preserve">Cafe Closing</t>
  </si>
  <si>
    <t xml:space="preserve">Kiosk Same-Store</t>
  </si>
  <si>
    <t xml:space="preserve">Kiosk New</t>
  </si>
  <si>
    <t xml:space="preserve">Kiosk Closing</t>
  </si>
  <si>
    <t xml:space="preserve">2026 Total</t>
  </si>
  <si>
    <t xml:space="preserve">PHP 5B Target</t>
  </si>
  <si>
    <t xml:space="preserve">Projected 2026 total vs target (PHP M)</t>
  </si>
  <si>
    <t xml:space="preserve">FY2025 total (Cafe + Kiosk baselines)</t>
  </si>
  <si>
    <t xml:space="preserve">Net change FY26 vs FY25</t>
  </si>
  <si>
    <t xml:space="preserve">Check: drivers sum to net change (should be 0)</t>
  </si>
  <si>
    <t xml:space="preserve">Monthly net sales by segment (PHP millions, VAT-inclusive, reconciled to receipt-level net)</t>
  </si>
  <si>
    <t xml:space="preserve">Source: your SQL extracts (4 six-month runs). Each run is scaled so its total ties to the receipt-level header_net (see Notes_Recon). Oct 2026 = Oct 1-19 only. Jan-Jun 2026 Kiosk Same-Store and Others include ESTIMATED rows lost to the 1,000-row export limit.</t>
  </si>
  <si>
    <t xml:space="preserve">Group</t>
  </si>
  <si>
    <t xml:space="preserve">Store type</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</si>
  <si>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</si>
  <si>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</si>
  <si>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</si>
  <si>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</si>
  <si>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</si>
  <si>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</si>
  <si>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</si>
  <si>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</si>
  <si>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</si>
  <si>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</si>
  <si>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Nov 2025</t>
  </si>
  <si>
    <t xml:space="preserve">Dec 2025</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</si>
  <si>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</si>
  <si>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</si>
  <si>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</si>
  <si>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</si>
  <si>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</si>
  <si>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</si>
  <si>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</si>
  <si>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</si>
  <si>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</si>
  <si>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</si>
  <si>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Cafe</t>
  </si>
  <si>
    <t xml:space="preserve">Same-Store</t>
  </si>
  <si>
    <t xml:space="preserve">New 2025</t>
  </si>
  <si>
    <t xml:space="preserve">New 2026</t>
  </si>
  <si>
    <t xml:space="preserve">Closed</t>
  </si>
  <si>
    <t xml:space="preserve">Kiosk &amp; Others</t>
  </si>
  <si>
    <t xml:space="preserve">Total</t>
  </si>
  <si>
    <t xml:space="preserve">YoY growth, total company</t>
  </si>
  <si>
    <t xml:space="preserve">Oct 2026 growth compares Oct 1-19, 2026 with 19/31 of Oct 2025 (assumes an even daily pace).</t>
  </si>
  <si>
    <t xml:space="preserve">Projection engine: 2026 landing vs the PHP 5B target (PHP millions)</t>
  </si>
  <si>
    <t xml:space="preserve">FY2026 target (PHP M)</t>
  </si>
  <si>
    <t xml:space="preserve">User-stated: target is for full-year 2026, VAT-inclusive</t>
  </si>
  <si>
    <t xml:space="preserve">Days of Oct 2026 in data (Oct 1-19)</t>
  </si>
  <si>
    <t xml:space="preserve">Edit if you refresh the data to a later date</t>
  </si>
  <si>
    <t xml:space="preserve">Days in October</t>
  </si>
  <si>
    <t xml:space="preserve">Days of Oct still to come (Oct 20-31)</t>
  </si>
  <si>
    <t xml:space="preserve">2025 YTD (Jan 1-Oct 19)</t>
  </si>
  <si>
    <t xml:space="preserve">2026 YTD actual</t>
  </si>
  <si>
    <t xml:space="preserve">2025 remainder (Oct 20-Dec 31)</t>
  </si>
  <si>
    <t xml:space="preserve">Q3'25 avg / month</t>
  </si>
  <si>
    <t xml:space="preserve">Q3'26 avg / month</t>
  </si>
  <si>
    <t xml:space="preserve">Seasonal index (remainder / Q3 month)</t>
  </si>
  <si>
    <t xml:space="preserve">2026 remainder (projected)</t>
  </si>
  <si>
    <t xml:space="preserve">FY2026 projected</t>
  </si>
  <si>
    <t xml:space="preserve">Change FY26 vs FY25</t>
  </si>
  <si>
    <t xml:space="preserve">Change YTD (like-for-like)</t>
  </si>
  <si>
    <t xml:space="preserve">YTD growth %</t>
  </si>
  <si>
    <t xml:space="preserve">Method: remainder = Q3-2026 monthly run-rate x seasonal index. The index is each channel's Same-Store (Oct 20-Dec 31, 2025) divided by its 2025 Q3 monthly average, i.e. it carries last year's Nov-Dec peak. One year of seasonality only (2024 not extracted).</t>
  </si>
  <si>
    <t xml:space="preserve">Headline numbers</t>
  </si>
  <si>
    <t xml:space="preserve">Projected cushion / (gap) vs target</t>
  </si>
  <si>
    <t xml:space="preserve">Needed in Oct 20-Dec 31 to hit target</t>
  </si>
  <si>
    <t xml:space="preserve">Same days last year (2025 remainder)</t>
  </si>
  <si>
    <t xml:space="preserve">Required YoY growth in the remainder</t>
  </si>
  <si>
    <t xml:space="preserve">Projected YoY growth in the remainder</t>
  </si>
  <si>
    <t xml:space="preserve">YTD YoY growth (like-for-like)</t>
  </si>
  <si>
    <t xml:space="preserve">FY2026 vs FY2025 growth</t>
  </si>
  <si>
    <t xml:space="preserve">Like-for-like YTD sources of growth: Jan 1-Oct 19, 2026 vs same days of 2025 (PHP millions)</t>
  </si>
  <si>
    <t xml:space="preserve">Source</t>
  </si>
  <si>
    <t xml:space="preserve">2025 YTD</t>
  </si>
  <si>
    <t xml:space="preserve">2026 YTD</t>
  </si>
  <si>
    <t xml:space="preserve">Change</t>
  </si>
  <si>
    <t xml:space="preserve">Growth %</t>
  </si>
  <si>
    <t xml:space="preserve">Share of net growth</t>
  </si>
  <si>
    <t xml:space="preserve">Kiosk Same-Store (incl. Others)</t>
  </si>
  <si>
    <t xml:space="preserve">New cafes opened 2025</t>
  </si>
  <si>
    <t xml:space="preserve">New cafes opened 2026</t>
  </si>
  <si>
    <t xml:space="preserve">New kiosks (2025 + 2026)</t>
  </si>
  <si>
    <t xml:space="preserve">Closing cafes</t>
  </si>
  <si>
    <t xml:space="preserve">Closing kiosks</t>
  </si>
  <si>
    <t xml:space="preserve">Total company</t>
  </si>
  <si>
    <t xml:space="preserve">Roll-up</t>
  </si>
  <si>
    <t xml:space="preserve">Change (PHP M)</t>
  </si>
  <si>
    <t xml:space="preserve">2025 base</t>
  </si>
  <si>
    <t xml:space="preserve">Growth on own base</t>
  </si>
  <si>
    <t xml:space="preserve">Same-store (Cafe + Kiosk)</t>
  </si>
  <si>
    <t xml:space="preserve">New stores (all cohorts)</t>
  </si>
  <si>
    <t xml:space="preserve">Closing stores</t>
  </si>
  <si>
    <t xml:space="preserve">Same-store sales growth (SSSG): Cafe</t>
  </si>
  <si>
    <t xml:space="preserve">Same-store sales growth (SSSG): Kiosk</t>
  </si>
  <si>
    <t xml:space="preserve">Same-store sales growth (SSSG): Cafe + Kiosk combined</t>
  </si>
  <si>
    <t xml:space="preserve">Note: "Closing" = branches with a date_closed in the branches table; they still trade for part of the period. Same-Store = opened before 2025 with no close date.</t>
  </si>
  <si>
    <t xml:space="preserve">Product mix analysis: YTD 2026 vs same days of 2025 (PHP millions, net sales)</t>
  </si>
  <si>
    <t xml:space="preserve">Values are YTD (Jan 1-Oct 19; Oct 2025 pro-rated 19/31). Mix shift in percentage points. Price = net sales per unit, so a price change also reflects pack/size/discount mix. Kiosk H1-2026 lines marked * are partly estimated.</t>
  </si>
  <si>
    <t xml:space="preserve">A. CAFE - SAME-STORES ONLY (cleanest read of the menu)</t>
  </si>
  <si>
    <t xml:space="preserve">Category</t>
  </si>
  <si>
    <t xml:space="preserve">Mix 2025</t>
  </si>
  <si>
    <t xml:space="preserve">Mix 2026</t>
  </si>
  <si>
    <t xml:space="preserve">Mix shift (pp)</t>
  </si>
  <si>
    <t xml:space="preserve">Contribution to channel growth (pp)</t>
  </si>
  <si>
    <t xml:space="preserve">Qty 2025</t>
  </si>
  <si>
    <t xml:space="preserve">Qty 2026</t>
  </si>
  <si>
    <t xml:space="preserve">Qty growth %</t>
  </si>
  <si>
    <t xml:space="preserve">Avg price growth %</t>
  </si>
  <si>
    <t xml:space="preserve">ALL-DAY BREAKFAST</t>
  </si>
  <si>
    <t xml:space="preserve">SIGNATURE CAKES</t>
  </si>
  <si>
    <t xml:space="preserve">FLAVORFUL PASTAS</t>
  </si>
  <si>
    <t xml:space="preserve">BEVERAGES</t>
  </si>
  <si>
    <t xml:space="preserve">CHEESE ROLLS</t>
  </si>
  <si>
    <t xml:space="preserve">ENSAYMADAS</t>
  </si>
  <si>
    <t xml:space="preserve">FRESH SALADS</t>
  </si>
  <si>
    <t xml:space="preserve">PERFECT PLATES</t>
  </si>
  <si>
    <t xml:space="preserve">MAINS</t>
  </si>
  <si>
    <t xml:space="preserve">SOUPS</t>
  </si>
  <si>
    <t xml:space="preserve">PIZZAS</t>
  </si>
  <si>
    <t xml:space="preserve">HEARTY SANDWICHES</t>
  </si>
  <si>
    <t xml:space="preserve">SAVORY STARTERS</t>
  </si>
  <si>
    <t xml:space="preserve">DESSERT BARS</t>
  </si>
  <si>
    <t xml:space="preserve">PASTRIES</t>
  </si>
  <si>
    <t xml:space="preserve">LOAF CAKES</t>
  </si>
  <si>
    <t xml:space="preserve">KIDS MENU</t>
  </si>
  <si>
    <t xml:space="preserve">SEASONAL CAKES</t>
  </si>
  <si>
    <t xml:space="preserve">FAMILY PLATTERS</t>
  </si>
  <si>
    <t xml:space="preserve">EXTRAS</t>
  </si>
  <si>
    <t xml:space="preserve">NON-FOOD</t>
  </si>
  <si>
    <t xml:space="preserve">AMBIENT</t>
  </si>
  <si>
    <t xml:space="preserve">SIGNATURES</t>
  </si>
  <si>
    <t xml:space="preserve">Other small categories (&lt;PHP 0.3M)</t>
  </si>
  <si>
    <t xml:space="preserve">B. CAFE - ALL STORES (includes new / closing stores)</t>
  </si>
  <si>
    <t xml:space="preserve">TANDEM</t>
  </si>
  <si>
    <t xml:space="preserve">C. KIOSK &amp; OTHERS - ALL STORES</t>
  </si>
  <si>
    <t xml:space="preserve">CHEESE ROLLS*</t>
  </si>
  <si>
    <t xml:space="preserve">GRABFOOD</t>
  </si>
  <si>
    <t xml:space="preserve">ENSAYMADA</t>
  </si>
  <si>
    <t xml:space="preserve">TRUFFLE*</t>
  </si>
  <si>
    <t xml:space="preserve">SANSRIVAL*</t>
  </si>
  <si>
    <t xml:space="preserve">SIGNATURE CAKES*</t>
  </si>
  <si>
    <t xml:space="preserve">BLACK VELVET</t>
  </si>
  <si>
    <t xml:space="preserve">SEA SALT CARAMEL VANILLA*</t>
  </si>
  <si>
    <t xml:space="preserve">CHOCOLATE</t>
  </si>
  <si>
    <t xml:space="preserve">CHRISTMAS</t>
  </si>
  <si>
    <t xml:space="preserve">CARROT CAKE</t>
  </si>
  <si>
    <t xml:space="preserve">DESSERT BARS*</t>
  </si>
  <si>
    <t xml:space="preserve">CHOCOLATE MOUSSE</t>
  </si>
  <si>
    <t xml:space="preserve">MANGO BENE</t>
  </si>
  <si>
    <t xml:space="preserve">FRUITCAKE</t>
  </si>
  <si>
    <t xml:space="preserve">BUTTER CHIFFON</t>
  </si>
  <si>
    <t xml:space="preserve">CALAMANSI BARS</t>
  </si>
  <si>
    <t xml:space="preserve">PASTRIES*</t>
  </si>
  <si>
    <t xml:space="preserve">CHEESE CAKE</t>
  </si>
  <si>
    <t xml:space="preserve">WEB CELEBRATION CAKES*</t>
  </si>
  <si>
    <t xml:space="preserve">ENSAYMADAS*</t>
  </si>
  <si>
    <t xml:space="preserve">BIRTHDAY CANDLE</t>
  </si>
  <si>
    <t xml:space="preserve">TIRAMISU*</t>
  </si>
  <si>
    <t xml:space="preserve">SIGNATURES*</t>
  </si>
  <si>
    <t xml:space="preserve">MAINS*</t>
  </si>
  <si>
    <t xml:space="preserve">MARY GRACE MAMON</t>
  </si>
  <si>
    <t xml:space="preserve">LEMON BARS</t>
  </si>
  <si>
    <t xml:space="preserve">BROWNIE</t>
  </si>
  <si>
    <t xml:space="preserve">FOOD FOR THE GODS</t>
  </si>
  <si>
    <t xml:space="preserve">VALENTINES CAKE</t>
  </si>
  <si>
    <t xml:space="preserve">Pareto of what is still to come: projected Oct 20-Dec 31, 2026 net sales by category (PHP millions)</t>
  </si>
  <si>
    <t xml:space="preserve">Category level (item-level names need the item extract). Projection = Q3-2026 monthly run-rate x category seasonal index (Same-Store 2025 Oct 20-Dec 31 / Q3 month; channel index if the category was too small; limited to 0.8x-1.25x of the channel index so a ramping category cannot distort it), scaled to the Model total. Kiosk lines with a 0 run-rate were not selling in Q3.</t>
  </si>
  <si>
    <t xml:space="preserve">Scale factor to tie to Model remainder</t>
  </si>
  <si>
    <t xml:space="preserve">Rank</t>
  </si>
  <si>
    <t xml:space="preserve">Channel</t>
  </si>
  <si>
    <t xml:space="preserve">Seasonal index</t>
  </si>
  <si>
    <t xml:space="preserve">Raw remainder</t>
  </si>
  <si>
    <t xml:space="preserve">Projected remainder 2026</t>
  </si>
  <si>
    <t xml:space="preserve">Share of remainder</t>
  </si>
  <si>
    <t xml:space="preserve">Cumulative share</t>
  </si>
  <si>
    <t xml:space="preserve">Pareto class</t>
  </si>
  <si>
    <t xml:space="preserve">YTD change vs 2025 (PHP M)</t>
  </si>
  <si>
    <t xml:space="preserve">YTD growth rank</t>
  </si>
  <si>
    <t xml:space="preserve">Same days 2025 (PHP M)</t>
  </si>
  <si>
    <t xml:space="preserve">Implied YoY on remainder</t>
  </si>
  <si>
    <t xml:space="preserve">TRUFFLE</t>
  </si>
  <si>
    <t xml:space="preserve">SANSRIVAL</t>
  </si>
  <si>
    <t xml:space="preserve">SEA SALT CARAMEL VANILLA</t>
  </si>
  <si>
    <t xml:space="preserve">WEB CELEBRATION CAKES</t>
  </si>
  <si>
    <t xml:space="preserve">TABLE VIBE</t>
  </si>
  <si>
    <t xml:space="preserve">TIRAMISU</t>
  </si>
  <si>
    <t xml:space="preserve">BOTTLED HOT CHOCOLATE</t>
  </si>
  <si>
    <t xml:space="preserve">NO CATEGORY</t>
  </si>
  <si>
    <t xml:space="preserve">SEASONAL OFFERS</t>
  </si>
  <si>
    <t xml:space="preserve">GRAB MART</t>
  </si>
  <si>
    <t xml:space="preserve">PUDDING</t>
  </si>
  <si>
    <t xml:space="preserve">BANANA BREAD</t>
  </si>
  <si>
    <t xml:space="preserve">BAG</t>
  </si>
  <si>
    <t xml:space="preserve">SAMPLER</t>
  </si>
  <si>
    <t xml:space="preserve">SAMPLERS</t>
  </si>
  <si>
    <t xml:space="preserve">DEDICATION WHOLE</t>
  </si>
  <si>
    <t xml:space="preserve">DARK CHOCOLATE CHEESECAKE</t>
  </si>
  <si>
    <t xml:space="preserve">APPLE PIE</t>
  </si>
  <si>
    <t xml:space="preserve">LIMONE SANTI</t>
  </si>
  <si>
    <t xml:space="preserve">STRAW BERRY</t>
  </si>
  <si>
    <t xml:space="preserve">Unmapped</t>
  </si>
  <si>
    <t xml:space="preserve">Categories in class A (drive ~80%)</t>
  </si>
  <si>
    <t xml:space="preserve">Share of all categories</t>
  </si>
  <si>
    <t xml:space="preserve">Share of remainder they deliver</t>
  </si>
  <si>
    <t xml:space="preserve">Top contributors to YTD growth (descending) and biggest drags</t>
  </si>
  <si>
    <t xml:space="preserve">YTD change (PHP M)</t>
  </si>
  <si>
    <t xml:space="preserve">Share of net YTD growth</t>
  </si>
  <si>
    <t xml:space="preserve">Drag 1</t>
  </si>
  <si>
    <t xml:space="preserve">Drag 2</t>
  </si>
  <si>
    <t xml:space="preserve">Drag 3</t>
  </si>
  <si>
    <t xml:space="preserve">Drag 4</t>
  </si>
  <si>
    <t xml:space="preserve">Drag 5</t>
  </si>
  <si>
    <t xml:space="preserve">Drag 6</t>
  </si>
  <si>
    <t xml:space="preserve">Drag 7</t>
  </si>
  <si>
    <t xml:space="preserve">Drag 8</t>
  </si>
  <si>
    <t xml:space="preserve">Item-level Pareto: which items carry the remaining Oct 20-Dec 31, 2026 revenue (PHP millions)  - PROVISIONAL</t>
  </si>
  <si>
    <t xml:space="preserve">Ranked by revenue (no cost data available, so this is revenue contribution, not margin). Item revenue = unit price / 1.12 x qty (ex-VAT, team definition). Each category's projected remainder (Pareto_Categories, VAT-inclusive net basis) is shared out across its items by July-2026 revenue. Growth = Jan+Jul 2026 vs Jan+Jul 2025 (the only complete months in the item export).</t>
  </si>
  <si>
    <t xml:space="preserve">Priority tier: 1 PROTECT = top-80% item, stable or growing | 2 FIX = top-80% item down more than 5% | 3 SCALE = outside top 80%, new or up 25%+ (min PHP 0.3M in 2 months) | 4 MAINTAIN = the rest.</t>
  </si>
  <si>
    <t xml:space="preserve">Item code</t>
  </si>
  <si>
    <t xml:space="preserve">Item name</t>
  </si>
  <si>
    <t xml:space="preserve">Jul 2026 revenue ex-VAT (PHP)</t>
  </si>
  <si>
    <t xml:space="preserve">Share within category</t>
  </si>
  <si>
    <t xml:space="preserve">Category remainder (PHP M)</t>
  </si>
  <si>
    <t xml:space="preserve">Projected remainder (PHP M)</t>
  </si>
  <si>
    <t xml:space="preserve">Jan+Jul 2025 revenue ex-VAT (PHP)</t>
  </si>
  <si>
    <t xml:space="preserve">Jan+Jul 2026 revenue ex-VAT (PHP)</t>
  </si>
  <si>
    <t xml:space="preserve">Change (PHP)</t>
  </si>
  <si>
    <t xml:space="preserve">Priority tier</t>
  </si>
  <si>
    <t xml:space="preserve">Growth % (numeric)</t>
  </si>
  <si>
    <t xml:space="preserve">ADB-SBT1</t>
  </si>
  <si>
    <t xml:space="preserve">SIRLOIN BEEF TAPA - PLATE</t>
  </si>
  <si>
    <t xml:space="preserve">CRC-MGCR12</t>
  </si>
  <si>
    <t xml:space="preserve">MARY GRACE CHEESEROLLS - BOX OF 12</t>
  </si>
  <si>
    <t xml:space="preserve">ADB-SALPI1</t>
  </si>
  <si>
    <t xml:space="preserve">RIB-EYE SALPICAO AND EGGS - PLATE</t>
  </si>
  <si>
    <t xml:space="preserve">ADB-FBB1</t>
  </si>
  <si>
    <t xml:space="preserve">DAING NA BANGUS - PLATE</t>
  </si>
  <si>
    <t xml:space="preserve">CRC-MGCR1</t>
  </si>
  <si>
    <t xml:space="preserve">MARY GRACE CHEESEROLLS - PC</t>
  </si>
  <si>
    <t xml:space="preserve">FPCR-MGMC1</t>
  </si>
  <si>
    <t xml:space="preserve">MARY GRACE MUSHROOM CREAM - PLATE</t>
  </si>
  <si>
    <t xml:space="preserve">ADB-TVL1</t>
  </si>
  <si>
    <t xml:space="preserve">TOASTED VIGAN LONGGANISA - PLATE</t>
  </si>
  <si>
    <t xml:space="preserve">FPOL-SLS1</t>
  </si>
  <si>
    <t xml:space="preserve">SPICY LEMON SCAMPI - PLATE</t>
  </si>
  <si>
    <t xml:space="preserve">CRC-MGCR6</t>
  </si>
  <si>
    <t xml:space="preserve">MARY GRACE CHEESEROLLS - BOX OF 6</t>
  </si>
  <si>
    <t xml:space="preserve">FPOL-SP1</t>
  </si>
  <si>
    <t xml:space="preserve">SEAFOOD PASTA - PLATE</t>
  </si>
  <si>
    <t xml:space="preserve">BEVHC-MGHC1</t>
  </si>
  <si>
    <t xml:space="preserve">MARY GRACE HOT CHOCOLATE CUP</t>
  </si>
  <si>
    <t xml:space="preserve">PPP-FTHP1</t>
  </si>
  <si>
    <t xml:space="preserve">PERFECT PLATE - FRESH TOMATO &amp; HERB</t>
  </si>
  <si>
    <t xml:space="preserve">EQC-MGE6</t>
  </si>
  <si>
    <t xml:space="preserve">MARY GRACE ENSAYMADA - BOX OF 6</t>
  </si>
  <si>
    <t xml:space="preserve">SCS-MB1</t>
  </si>
  <si>
    <t xml:space="preserve">MANGO BENE SLICE</t>
  </si>
  <si>
    <t xml:space="preserve">BEVCF-AMEH1</t>
  </si>
  <si>
    <t xml:space="preserve">AMERICANO HOT CUP</t>
  </si>
  <si>
    <t xml:space="preserve">SS-CCOD1</t>
  </si>
  <si>
    <t xml:space="preserve">CRISPY CASSAVA CHIPS WITH DIP - PLATE</t>
  </si>
  <si>
    <t xml:space="preserve">FPCR-SSC1</t>
  </si>
  <si>
    <t xml:space="preserve">SMOKED SALMON AND CREAM - PLATE</t>
  </si>
  <si>
    <t xml:space="preserve">EQC-MGE12</t>
  </si>
  <si>
    <t xml:space="preserve">MARY GRACE ENSAYMADA - BOX OF 12</t>
  </si>
  <si>
    <t xml:space="preserve">SCW-CT1</t>
  </si>
  <si>
    <t xml:space="preserve">CHOCOLATE TRUFFLE WHOLE</t>
  </si>
  <si>
    <t xml:space="preserve">EQC-MGE1</t>
  </si>
  <si>
    <t xml:space="preserve">MARY GRACE ENSAYMADA - PC</t>
  </si>
  <si>
    <t xml:space="preserve">SCW-MB1</t>
  </si>
  <si>
    <t xml:space="preserve">MANGO BENE WHOLE</t>
  </si>
  <si>
    <t xml:space="preserve">SO-SC1</t>
  </si>
  <si>
    <t xml:space="preserve">SEAFOOD CHOWDER - BOWL</t>
  </si>
  <si>
    <t xml:space="preserve">FPOL-SSO1</t>
  </si>
  <si>
    <t xml:space="preserve">SPANISH SARDINES AND OLIVES - PLATE</t>
  </si>
  <si>
    <t xml:space="preserve">FS-MGCS1</t>
  </si>
  <si>
    <t xml:space="preserve">MARY GRACE CEASAR SALAD - PLATE</t>
  </si>
  <si>
    <t xml:space="preserve">MA-ARS200</t>
  </si>
  <si>
    <t xml:space="preserve">STEAK ANGUS RIBEYE - 200G</t>
  </si>
  <si>
    <t xml:space="preserve">MA-SCDS1</t>
  </si>
  <si>
    <t xml:space="preserve">SALMON WITH CREAMY DILL - PLATE</t>
  </si>
  <si>
    <t xml:space="preserve">EQC-MGEG1</t>
  </si>
  <si>
    <t xml:space="preserve">BEVFFS-M1</t>
  </si>
  <si>
    <t xml:space="preserve">MANGO SHAKE GLASS</t>
  </si>
  <si>
    <t xml:space="preserve">FS-PSMPV1</t>
  </si>
  <si>
    <t xml:space="preserve">PRAWN SALAD WITH PAPAYA - PLATE</t>
  </si>
  <si>
    <t xml:space="preserve">CRC-MGCRG1</t>
  </si>
  <si>
    <t xml:space="preserve">SO-SS1</t>
  </si>
  <si>
    <t xml:space="preserve">SUMMER SQUASH - BOWL</t>
  </si>
  <si>
    <t xml:space="preserve">ADB-PT1</t>
  </si>
  <si>
    <t xml:space="preserve">PORK TOCINO - PLATE</t>
  </si>
  <si>
    <t xml:space="preserve">ADBSH-SBT1</t>
  </si>
  <si>
    <t xml:space="preserve">SIRLOIN BEEF TAPA - SHARE</t>
  </si>
  <si>
    <t xml:space="preserve">MA-GCTC1</t>
  </si>
  <si>
    <t xml:space="preserve">GRILLED CHICKEN WITH TOMATO - PLATE</t>
  </si>
  <si>
    <t xml:space="preserve">FPOL-V1</t>
  </si>
  <si>
    <t xml:space="preserve">VONGOLE - PLATE</t>
  </si>
  <si>
    <t xml:space="preserve">SCM-CT1</t>
  </si>
  <si>
    <t xml:space="preserve">CHOCOLATE TRUFFLE MINI</t>
  </si>
  <si>
    <t xml:space="preserve">SCW-TASR1</t>
  </si>
  <si>
    <t xml:space="preserve">TOASTED ALMOND SANS RIVAL WHOLE</t>
  </si>
  <si>
    <t xml:space="preserve">FPCR-DSC1</t>
  </si>
  <si>
    <t xml:space="preserve">DORY AND SAFFRON CREAM - PLATE</t>
  </si>
  <si>
    <t xml:space="preserve">SCM-MB1</t>
  </si>
  <si>
    <t xml:space="preserve">MANGO BENE MINI - PC</t>
  </si>
  <si>
    <t xml:space="preserve">SCW-CC1</t>
  </si>
  <si>
    <t xml:space="preserve">CHOCOLATE CAKE WHOLE</t>
  </si>
  <si>
    <t xml:space="preserve">SCW-SSCV1</t>
  </si>
  <si>
    <t xml:space="preserve">SEA SALT CARAMEL VANILLA WHOLE</t>
  </si>
  <si>
    <t xml:space="preserve">FPCRSH-CC1</t>
  </si>
  <si>
    <t xml:space="preserve">TABLE CLASSIC CARBONARA</t>
  </si>
  <si>
    <t xml:space="preserve">SCS-CT1</t>
  </si>
  <si>
    <t xml:space="preserve">CHOCOLATE TRUFFLE SLICE</t>
  </si>
  <si>
    <t xml:space="preserve">SEAS-CTI1</t>
  </si>
  <si>
    <t xml:space="preserve">CHOCOLATE RUM TIRAMISU SLICE - PC</t>
  </si>
  <si>
    <t xml:space="preserve">SCS-TASR1</t>
  </si>
  <si>
    <t xml:space="preserve">TOASTED ALMOND SANS RIVAL SLICE</t>
  </si>
  <si>
    <t xml:space="preserve">SCW-BV1</t>
  </si>
  <si>
    <t xml:space="preserve">BLACK VELVET WHOLE</t>
  </si>
  <si>
    <t xml:space="preserve">PAL-BL1</t>
  </si>
  <si>
    <t xml:space="preserve">LENGUA - BUTTER</t>
  </si>
  <si>
    <t xml:space="preserve">PPP-DSCP1</t>
  </si>
  <si>
    <t xml:space="preserve">PERFECT PLATE DORY&amp; SAFFRON CREAM</t>
  </si>
  <si>
    <t xml:space="preserve">SCW-SS1</t>
  </si>
  <si>
    <t xml:space="preserve">STRAWBERRY SHORTCAKE WHOLE</t>
  </si>
  <si>
    <t xml:space="preserve">FPTOSH-PAIM1</t>
  </si>
  <si>
    <t xml:space="preserve">TABLE PASTA AMATR W/ ITALIAN MEATBALLS</t>
  </si>
  <si>
    <t xml:space="preserve">PZNE-CC13</t>
  </si>
  <si>
    <t xml:space="preserve">CLASSIC CHEESE WHOLE</t>
  </si>
  <si>
    <t xml:space="preserve">FPOLSH-SLS1</t>
  </si>
  <si>
    <t xml:space="preserve">TABLE SPICY LEMON SCAMPI</t>
  </si>
  <si>
    <t xml:space="preserve">SCW-CWC1</t>
  </si>
  <si>
    <t xml:space="preserve">CARROT CAKE WHOLE</t>
  </si>
  <si>
    <t xml:space="preserve">SO-WM1</t>
  </si>
  <si>
    <t xml:space="preserve">WILD MUSHROOM - BOWL</t>
  </si>
  <si>
    <t xml:space="preserve">PAL-QDBL1</t>
  </si>
  <si>
    <t xml:space="preserve">LENGUA - QUESO DE BOLA</t>
  </si>
  <si>
    <t xml:space="preserve">SCS-CWC1</t>
  </si>
  <si>
    <t xml:space="preserve">CARROT CAKE SLICE</t>
  </si>
  <si>
    <t xml:space="preserve">SCW-CM1</t>
  </si>
  <si>
    <t xml:space="preserve">CHOCOLATE MOUSSE WHOLE</t>
  </si>
  <si>
    <t xml:space="preserve">ADBSH-SALPI1</t>
  </si>
  <si>
    <t xml:space="preserve">RIB-EYE SALPICAO AND EGGS - SHARE</t>
  </si>
  <si>
    <t xml:space="preserve">FS-SUMMER1</t>
  </si>
  <si>
    <t xml:space="preserve">SUMMER SALAD WITH STRAWBERRY - PLATE</t>
  </si>
  <si>
    <t xml:space="preserve">HSSO-FBT1</t>
  </si>
  <si>
    <t xml:space="preserve">FILI BEEF</t>
  </si>
  <si>
    <t xml:space="preserve">SCM-TASR1</t>
  </si>
  <si>
    <t xml:space="preserve">TOASTED ALMOND SANS RIVAL MINI</t>
  </si>
  <si>
    <t xml:space="preserve">BEVFFS-S1</t>
  </si>
  <si>
    <t xml:space="preserve">STRAWBERRY SHAKE GLASS</t>
  </si>
  <si>
    <t xml:space="preserve">FPOLSH-SP1</t>
  </si>
  <si>
    <t xml:space="preserve">TABLE SEAFOOD PASTA</t>
  </si>
  <si>
    <t xml:space="preserve">BEVHC-TT1</t>
  </si>
  <si>
    <t xml:space="preserve">TRADITIONAL TSOKOLATE CUP</t>
  </si>
  <si>
    <t xml:space="preserve">BEVCF-LATH1</t>
  </si>
  <si>
    <t xml:space="preserve">LATTE HOT CUP</t>
  </si>
  <si>
    <t xml:space="preserve">BEVIT-WRG1</t>
  </si>
  <si>
    <t xml:space="preserve">WILD RASBERRY GLASS</t>
  </si>
  <si>
    <t xml:space="preserve">SCS-CM1</t>
  </si>
  <si>
    <t xml:space="preserve">CHOCOLATE MOUSSE SLICE</t>
  </si>
  <si>
    <t xml:space="preserve">SCM-CWC1</t>
  </si>
  <si>
    <t xml:space="preserve">CARROT CAKE MINI</t>
  </si>
  <si>
    <t xml:space="preserve">SS-CCTC1</t>
  </si>
  <si>
    <t xml:space="preserve">CHEDDAR CHEESE TOMATO CAPERS - PLATE</t>
  </si>
  <si>
    <t xml:space="preserve">FPCRSH-MGMC1</t>
  </si>
  <si>
    <t xml:space="preserve">TABLE MARY GRACE MUSHROOM CREAM</t>
  </si>
  <si>
    <t xml:space="preserve">SCS-SS1</t>
  </si>
  <si>
    <t xml:space="preserve">STRAWBERRY SHORTCAKE SLICE</t>
  </si>
  <si>
    <t xml:space="preserve">SCM-CC1</t>
  </si>
  <si>
    <t xml:space="preserve">CHOCOLATE CAKE MINI</t>
  </si>
  <si>
    <t xml:space="preserve">SCM-BV1</t>
  </si>
  <si>
    <t xml:space="preserve">BLACK VELVET MINI</t>
  </si>
  <si>
    <t xml:space="preserve">PPP-TVLP1</t>
  </si>
  <si>
    <t xml:space="preserve">PP LONGA</t>
  </si>
  <si>
    <t xml:space="preserve">SCM-SSCV1</t>
  </si>
  <si>
    <t xml:space="preserve">SEA SALT CARAMEL VANILLA MINI</t>
  </si>
  <si>
    <t xml:space="preserve">DB-BISCOF1</t>
  </si>
  <si>
    <t xml:space="preserve">BISCOFF CRUNCH BROWNIES - PC</t>
  </si>
  <si>
    <t xml:space="preserve">SCS-MGC1</t>
  </si>
  <si>
    <t xml:space="preserve">MARY GRACE CHEESECAKE SLICE</t>
  </si>
  <si>
    <t xml:space="preserve">SCW-MGC1</t>
  </si>
  <si>
    <t xml:space="preserve">MARY GRACE CHEESECAKE WHOLE</t>
  </si>
  <si>
    <t xml:space="preserve">FSSH-MGCS1</t>
  </si>
  <si>
    <t xml:space="preserve">MARY GRACE CEASAR SALAD - SHARE</t>
  </si>
  <si>
    <t xml:space="preserve">PZNE-MG13</t>
  </si>
  <si>
    <t xml:space="preserve">MUSHROOM &amp; GARLIC WHOLE</t>
  </si>
  <si>
    <t xml:space="preserve">SCS-CC1</t>
  </si>
  <si>
    <t xml:space="preserve">CHOCOLATE CAKE SLICE</t>
  </si>
  <si>
    <t xml:space="preserve">FPOL-TVL1</t>
  </si>
  <si>
    <t xml:space="preserve">LONGA</t>
  </si>
  <si>
    <t xml:space="preserve">BEVIT-WRP1</t>
  </si>
  <si>
    <t xml:space="preserve">WILD RASBERRY PITCHER</t>
  </si>
  <si>
    <t xml:space="preserve">PZNE-PA13</t>
  </si>
  <si>
    <t xml:space="preserve">PROSCIUTTO &amp; ARUGULA WHOLE</t>
  </si>
  <si>
    <t xml:space="preserve">ADB-ER1</t>
  </si>
  <si>
    <t xml:space="preserve">EGGS ROYAL - PLATE</t>
  </si>
  <si>
    <t xml:space="preserve">BEVIT-ACHG1</t>
  </si>
  <si>
    <t xml:space="preserve">APPLE &amp; CINNAMON HONEY GLASS</t>
  </si>
  <si>
    <t xml:space="preserve">SCM-CM1</t>
  </si>
  <si>
    <t xml:space="preserve">CHOCOLATE MOUSSE MINI</t>
  </si>
  <si>
    <t xml:space="preserve">HSSO-CI1</t>
  </si>
  <si>
    <t xml:space="preserve">CHICKEN INASAL</t>
  </si>
  <si>
    <t xml:space="preserve">MA-ARS450</t>
  </si>
  <si>
    <t xml:space="preserve">STEAK ANGUS RIBEYE - 450G</t>
  </si>
  <si>
    <t xml:space="preserve">BEVCF-IM1</t>
  </si>
  <si>
    <t xml:space="preserve">MOCHA ICED CUP</t>
  </si>
  <si>
    <t xml:space="preserve">LC-MGM6</t>
  </si>
  <si>
    <t xml:space="preserve">BUTTER CHIFFON - BOX OF 6</t>
  </si>
  <si>
    <t xml:space="preserve">BEVCF-MATCHAI1</t>
  </si>
  <si>
    <t xml:space="preserve">MATCHA LATTE ICED</t>
  </si>
  <si>
    <t xml:space="preserve">KM-PCT1</t>
  </si>
  <si>
    <t xml:space="preserve">PARMESAN CHICKEN TENDERS</t>
  </si>
  <si>
    <t xml:space="preserve">BEVIT-ACHP1</t>
  </si>
  <si>
    <t xml:space="preserve">APPLE &amp; CINNAMON HONEY PITCHER</t>
  </si>
  <si>
    <t xml:space="preserve">HSSE-FBT1</t>
  </si>
  <si>
    <t xml:space="preserve">FILI BEEF SET</t>
  </si>
  <si>
    <t xml:space="preserve">LC-FCL1</t>
  </si>
  <si>
    <t xml:space="preserve">CLASSIC FRUIT CAKE - LOAF</t>
  </si>
  <si>
    <t xml:space="preserve">FPTO-PT1</t>
  </si>
  <si>
    <t xml:space="preserve">EXTRA PROSCIUTT</t>
  </si>
  <si>
    <t xml:space="preserve">DB-DCHOCO8</t>
  </si>
  <si>
    <t xml:space="preserve">DOUBLE CHOCOLATE BROWNIES - BOX OF 8</t>
  </si>
  <si>
    <t xml:space="preserve">PZNE-MARG13</t>
  </si>
  <si>
    <t xml:space="preserve">MARGHERITA WHOLE</t>
  </si>
  <si>
    <t xml:space="preserve">HSSO-VLKP1</t>
  </si>
  <si>
    <t xml:space="preserve">VIGAN LONGGANISA AND KESONG PUTI</t>
  </si>
  <si>
    <t xml:space="preserve">FSSH-PSMPV1</t>
  </si>
  <si>
    <t xml:space="preserve">PRAWN SALAD WITH PAPAYA - SHARE</t>
  </si>
  <si>
    <t xml:space="preserve">PZNE-IM13</t>
  </si>
  <si>
    <t xml:space="preserve">ITALIAN MEATBALL WHOLE</t>
  </si>
  <si>
    <t xml:space="preserve">SEAM-CTI1</t>
  </si>
  <si>
    <t xml:space="preserve">CHOCOLATE RUM TIRAMISU MINI - PC</t>
  </si>
  <si>
    <t xml:space="preserve">SCS-SSCV1</t>
  </si>
  <si>
    <t xml:space="preserve">SEA SALT CARAMEL VANILLA SLICE</t>
  </si>
  <si>
    <t xml:space="preserve">FPTOSH-FTH1</t>
  </si>
  <si>
    <t xml:space="preserve">TABLE FRESH TOMATO &amp; HERB</t>
  </si>
  <si>
    <t xml:space="preserve">SCM-MGC1</t>
  </si>
  <si>
    <t xml:space="preserve">MARY GRACE CHEESECAKE MINI</t>
  </si>
  <si>
    <t xml:space="preserve">BEVIT-PG1</t>
  </si>
  <si>
    <t xml:space="preserve">PEACH GLASS</t>
  </si>
  <si>
    <t xml:space="preserve">FSSH-SUMMER1</t>
  </si>
  <si>
    <t xml:space="preserve">SUMMER SALAD WITH STRAWBERRY - SHARE</t>
  </si>
  <si>
    <t xml:space="preserve">PAL-CL1</t>
  </si>
  <si>
    <t xml:space="preserve">TSOKNUT LENGUA</t>
  </si>
  <si>
    <t xml:space="preserve">SCS-MM1</t>
  </si>
  <si>
    <t xml:space="preserve">SL-MANGO MOUSSE</t>
  </si>
  <si>
    <t xml:space="preserve">FPOL-CO1</t>
  </si>
  <si>
    <t xml:space="preserve">CHORIZO AND OLIVES - PLATE</t>
  </si>
  <si>
    <t xml:space="preserve">DB-BISCOF8</t>
  </si>
  <si>
    <t xml:space="preserve">BISCOFF CRUNCH BROWNIES - BOX OF 8</t>
  </si>
  <si>
    <t xml:space="preserve">BEVIT-PP1</t>
  </si>
  <si>
    <t xml:space="preserve">PEACH PITCHER</t>
  </si>
  <si>
    <t xml:space="preserve">BEVHC-MGCHC1</t>
  </si>
  <si>
    <t xml:space="preserve">MARY GRACE COLD HOT CHOCOLATE CUP</t>
  </si>
  <si>
    <t xml:space="preserve">DB-DCHOCO4</t>
  </si>
  <si>
    <t xml:space="preserve">DOUBLE CHOCOLATE BROWNIES - BOX OF 4</t>
  </si>
  <si>
    <t xml:space="preserve">BEVSOD-CZ330</t>
  </si>
  <si>
    <t xml:space="preserve">SOFTDRINKS COKE ZERO 320 ML</t>
  </si>
  <si>
    <t xml:space="preserve">SEAW-CTI1</t>
  </si>
  <si>
    <t xml:space="preserve">CHOCOLATE RUM TIRAMISU WHOLE - PC</t>
  </si>
  <si>
    <t xml:space="preserve">ADB-EB1</t>
  </si>
  <si>
    <t xml:space="preserve">EGGS BENEDICT - PLATE</t>
  </si>
  <si>
    <t xml:space="preserve">LC-MGM1</t>
  </si>
  <si>
    <t xml:space="preserve">BUTTER CHIFFON - PC</t>
  </si>
  <si>
    <t xml:space="preserve">BEVSOD-CR330</t>
  </si>
  <si>
    <t xml:space="preserve">SOFTDRINKS COKE REGULAR 320 ML</t>
  </si>
  <si>
    <t xml:space="preserve">HSSE-CI1</t>
  </si>
  <si>
    <t xml:space="preserve">CHICKEN INASAL SET</t>
  </si>
  <si>
    <t xml:space="preserve">SCS-BV1</t>
  </si>
  <si>
    <t xml:space="preserve">BLACK VELVET SLICE</t>
  </si>
  <si>
    <t xml:space="preserve">BEVCF-LATC1</t>
  </si>
  <si>
    <t xml:space="preserve">LATTE CARAMEL CUP</t>
  </si>
  <si>
    <t xml:space="preserve">BEVFFS-B1</t>
  </si>
  <si>
    <t xml:space="preserve">BANANA SHAKE GLASS</t>
  </si>
  <si>
    <t xml:space="preserve">DB-BISCOF4</t>
  </si>
  <si>
    <t xml:space="preserve">BISCOFF CRUNCH BROWNIES - BOX OF 4</t>
  </si>
  <si>
    <t xml:space="preserve">LC-MGM12</t>
  </si>
  <si>
    <t xml:space="preserve">BUTTER CHIFFON - BOX OF 12</t>
  </si>
  <si>
    <t xml:space="preserve">DB-LB8</t>
  </si>
  <si>
    <t xml:space="preserve">CALAMANSI BARS - BOX OF 8</t>
  </si>
  <si>
    <t xml:space="preserve">HSSO-PSS1</t>
  </si>
  <si>
    <t xml:space="preserve">GARLIC SHRIMP</t>
  </si>
  <si>
    <t xml:space="preserve">FPCR-SS1</t>
  </si>
  <si>
    <t xml:space="preserve">SICILIAN SHRIMP</t>
  </si>
  <si>
    <t xml:space="preserve">FPCRSH-SSC1</t>
  </si>
  <si>
    <t xml:space="preserve">TABLE SMOKED SALMON &amp; CREAM</t>
  </si>
  <si>
    <t xml:space="preserve">FS-GCO1</t>
  </si>
  <si>
    <t xml:space="preserve">GRILLED CHICKEN AND ORANGES - PLATE</t>
  </si>
  <si>
    <t xml:space="preserve">HSSE-VLKP1</t>
  </si>
  <si>
    <t xml:space="preserve">VIGAN LONGGANISA AND KESONG PUTI SET</t>
  </si>
  <si>
    <t xml:space="preserve">FPOLSH-SSO1</t>
  </si>
  <si>
    <t xml:space="preserve">TABLE SPANISH SARDINES &amp; OLIVES</t>
  </si>
  <si>
    <t xml:space="preserve">BEVCF-LATM1</t>
  </si>
  <si>
    <t xml:space="preserve">LATTE MOCHA CUP</t>
  </si>
  <si>
    <t xml:space="preserve">DB-LB4</t>
  </si>
  <si>
    <t xml:space="preserve">CALAMANSI BARS - BOX OF 4</t>
  </si>
  <si>
    <t xml:space="preserve">BEVCF-LATCI1</t>
  </si>
  <si>
    <t xml:space="preserve">BEVCF-LATI1</t>
  </si>
  <si>
    <t xml:space="preserve">LATTE ICED CUP</t>
  </si>
  <si>
    <t xml:space="preserve">SEAS-AFFO1</t>
  </si>
  <si>
    <t xml:space="preserve">AFFOGATO SLICE - PC</t>
  </si>
  <si>
    <t xml:space="preserve">BEVCF-PIM1</t>
  </si>
  <si>
    <t xml:space="preserve">MOCHA ICED PEPPERMINT CUP</t>
  </si>
  <si>
    <t xml:space="preserve">BEVCF-MATCHAH1</t>
  </si>
  <si>
    <t xml:space="preserve">MATCHA LATTE HOT</t>
  </si>
  <si>
    <t xml:space="preserve">FS-SMA1</t>
  </si>
  <si>
    <t xml:space="preserve">SMOKED HAM WITH ALMONDS - PLATE</t>
  </si>
  <si>
    <t xml:space="preserve">SS-MPBB1</t>
  </si>
  <si>
    <t xml:space="preserve">MUSHROOM PATE WITH BATARD - PLATE</t>
  </si>
  <si>
    <t xml:space="preserve">BEVSPA-LB1</t>
  </si>
  <si>
    <t xml:space="preserve">LEMON BASIL</t>
  </si>
  <si>
    <t xml:space="preserve">LC-FCS1</t>
  </si>
  <si>
    <t xml:space="preserve">CLASSIC FRUIT CAKE - SLICE</t>
  </si>
  <si>
    <t xml:space="preserve">XTRAH-SS05</t>
  </si>
  <si>
    <t xml:space="preserve">SUMMER SQUASH SOUP - HALF</t>
  </si>
  <si>
    <t xml:space="preserve">BEVCF-AMACI1</t>
  </si>
  <si>
    <t xml:space="preserve">AMERICANO ALMOND CREAM CUP</t>
  </si>
  <si>
    <t xml:space="preserve">PAC-SCB1</t>
  </si>
  <si>
    <t xml:space="preserve">SABLE - BUTTER</t>
  </si>
  <si>
    <t xml:space="preserve">EQT-TC1</t>
  </si>
  <si>
    <t xml:space="preserve">EQ TWIST THREE CHEESE - PC</t>
  </si>
  <si>
    <t xml:space="preserve">SEAW-AFFO1</t>
  </si>
  <si>
    <t xml:space="preserve">AFFOGATO WHOLE - PC</t>
  </si>
  <si>
    <t xml:space="preserve">BEVCF-PSL1</t>
  </si>
  <si>
    <t xml:space="preserve">PALM SUGAR LATTE</t>
  </si>
  <si>
    <t xml:space="preserve">XTRAH-WM05</t>
  </si>
  <si>
    <t xml:space="preserve">WILD MUSHROOM - HALF</t>
  </si>
  <si>
    <t xml:space="preserve">BEVCF-ESP1</t>
  </si>
  <si>
    <t xml:space="preserve">ESPRESSO CUP</t>
  </si>
  <si>
    <t xml:space="preserve">FS-FKPCV1</t>
  </si>
  <si>
    <t xml:space="preserve">FRIED KESONG PUTI &amp; CALAMANSI - PLATE</t>
  </si>
  <si>
    <t xml:space="preserve">ADBSH-FBB1</t>
  </si>
  <si>
    <t xml:space="preserve">DAING NA BANGUS - SHARE</t>
  </si>
  <si>
    <t xml:space="preserve">BEVCF-AMVCI1</t>
  </si>
  <si>
    <t xml:space="preserve">AMERICANO VANILLA CREAM CUP</t>
  </si>
  <si>
    <t xml:space="preserve">BEVCF-TIRA1</t>
  </si>
  <si>
    <t xml:space="preserve">TIRAMISU LATTE</t>
  </si>
  <si>
    <t xml:space="preserve">PZNE-SBIA13</t>
  </si>
  <si>
    <t xml:space="preserve">SEAFOOD BIANCA WHOLE</t>
  </si>
  <si>
    <t xml:space="preserve">BEVHC-MHC1</t>
  </si>
  <si>
    <t xml:space="preserve">MINT HOT CHOCOLATE CUP</t>
  </si>
  <si>
    <t xml:space="preserve">PAC-SCC1</t>
  </si>
  <si>
    <t xml:space="preserve">SABLE - CHOCO</t>
  </si>
  <si>
    <t xml:space="preserve">CRC-MGCR16</t>
  </si>
  <si>
    <t xml:space="preserve">MARY GRACE CHEESEROLLS - BOX OF 16</t>
  </si>
  <si>
    <t xml:space="preserve">LC-EBPC1</t>
  </si>
  <si>
    <t xml:space="preserve">MARY GRACE ENSAY BREAD PUDDING - CLASSIC</t>
  </si>
  <si>
    <t xml:space="preserve">ADBSH-CIF1</t>
  </si>
  <si>
    <t xml:space="preserve">CHICKEN INASAL FILLET - SHARE</t>
  </si>
  <si>
    <t xml:space="preserve">SCW-MM1</t>
  </si>
  <si>
    <t xml:space="preserve">WH-MANGO MOUSSE</t>
  </si>
  <si>
    <t xml:space="preserve">BEVSPA-PM1</t>
  </si>
  <si>
    <t xml:space="preserve">PEACHMANGO</t>
  </si>
  <si>
    <t xml:space="preserve">BEVSIG-UM1</t>
  </si>
  <si>
    <t xml:space="preserve">UBEMATCHA</t>
  </si>
  <si>
    <t xml:space="preserve">BEVWTR-HOPE1</t>
  </si>
  <si>
    <t xml:space="preserve">MINERAL WATER 500 ML</t>
  </si>
  <si>
    <t xml:space="preserve">PZNE-SBT13</t>
  </si>
  <si>
    <t xml:space="preserve">SEAFOOD &amp; BASIL WHOLE</t>
  </si>
  <si>
    <t xml:space="preserve">PZST-AC13</t>
  </si>
  <si>
    <t xml:space="preserve">FPOLSH-V1</t>
  </si>
  <si>
    <t xml:space="preserve">TABLE VONGOLE</t>
  </si>
  <si>
    <t xml:space="preserve">DB-LB1</t>
  </si>
  <si>
    <t xml:space="preserve">CALAMANSI BARS - PC</t>
  </si>
  <si>
    <t xml:space="preserve">SS-CKPBB1</t>
  </si>
  <si>
    <t xml:space="preserve">GRILLED KESONG PUTI WITH BATARD - PLATE</t>
  </si>
  <si>
    <t xml:space="preserve">ADB-BFT1</t>
  </si>
  <si>
    <t xml:space="preserve">BRIOCHE FRENCH TOAST - PLATE</t>
  </si>
  <si>
    <t xml:space="preserve">BEVSPA-SLM1</t>
  </si>
  <si>
    <t xml:space="preserve">STRAWLEMON MINT</t>
  </si>
  <si>
    <t xml:space="preserve">DB-DCHOCO1</t>
  </si>
  <si>
    <t xml:space="preserve">DOUBLE CHOCOLATE BROWNIES - PC</t>
  </si>
  <si>
    <t xml:space="preserve">HSSE-PSS1</t>
  </si>
  <si>
    <t xml:space="preserve">GARLIC SHRIMP SET</t>
  </si>
  <si>
    <t xml:space="preserve">BEVCF-CAPI1</t>
  </si>
  <si>
    <t xml:space="preserve">CAPPUCCINO ICED CUP</t>
  </si>
  <si>
    <t xml:space="preserve">BEVTEA-LG1</t>
  </si>
  <si>
    <t xml:space="preserve">TSAA Lemon Ginger</t>
  </si>
  <si>
    <t xml:space="preserve">BEVHC-THC1</t>
  </si>
  <si>
    <t xml:space="preserve">TSOKNUT HOT CHOCOLATE CUP</t>
  </si>
  <si>
    <t xml:space="preserve">ADBSH-TVL1</t>
  </si>
  <si>
    <t xml:space="preserve">TOASTED VIGAN LONGGANISA - SHARE</t>
  </si>
  <si>
    <t xml:space="preserve">FPCRSH-DSC1</t>
  </si>
  <si>
    <t xml:space="preserve">TABLE DORY &amp; SAFFRON CREAM</t>
  </si>
  <si>
    <t xml:space="preserve">EQT-LC1</t>
  </si>
  <si>
    <t xml:space="preserve">EQ TWIST LAGUNA CHEESE - PC</t>
  </si>
  <si>
    <t xml:space="preserve">SPFP-FTH4</t>
  </si>
  <si>
    <t xml:space="preserve">FRESH TOMATO AND HERB - PLATTER</t>
  </si>
  <si>
    <t xml:space="preserve">HSSO-VOF1</t>
  </si>
  <si>
    <t xml:space="preserve">VEGETABLES ON FOCACCIA</t>
  </si>
  <si>
    <t xml:space="preserve">(unmapped)</t>
  </si>
  <si>
    <t xml:space="preserve">Unmapped item_id (several items)</t>
  </si>
  <si>
    <t xml:space="preserve">LC-EBPT1</t>
  </si>
  <si>
    <t xml:space="preserve">MARY GRACE ENSAY BREAD PUDDING - TOASTED</t>
  </si>
  <si>
    <t xml:space="preserve">BEVSIG-SM1</t>
  </si>
  <si>
    <t xml:space="preserve">STRAWMATCHA</t>
  </si>
  <si>
    <t xml:space="preserve">SPFP-CC4</t>
  </si>
  <si>
    <t xml:space="preserve">CLASSIC CARBONARA - PLATTER</t>
  </si>
  <si>
    <t xml:space="preserve">PZST-IS13</t>
  </si>
  <si>
    <t xml:space="preserve">BEVSIG-UC1</t>
  </si>
  <si>
    <t xml:space="preserve">UBECLOUD</t>
  </si>
  <si>
    <t xml:space="preserve">PZNE-CB13</t>
  </si>
  <si>
    <t xml:space="preserve">CHORIZO &amp; BASIL WHOLE</t>
  </si>
  <si>
    <t xml:space="preserve">KM-CC1</t>
  </si>
  <si>
    <t xml:space="preserve">CREAMY CARBONARA</t>
  </si>
  <si>
    <t xml:space="preserve">NFP-TOBIOL1</t>
  </si>
  <si>
    <t xml:space="preserve">TO BIOLARGE1000</t>
  </si>
  <si>
    <t xml:space="preserve">BEVCF-LATMI1</t>
  </si>
  <si>
    <t xml:space="preserve">PZST-MARG13</t>
  </si>
  <si>
    <t xml:space="preserve">PZST-MG13</t>
  </si>
  <si>
    <t xml:space="preserve">SPFP-PAIM4</t>
  </si>
  <si>
    <t xml:space="preserve">PASTA AMATRICIANA W MEATBALLS - PLATTER</t>
  </si>
  <si>
    <t xml:space="preserve">SPFP-MGMC4</t>
  </si>
  <si>
    <t xml:space="preserve">MARY GRACE MUSHROOM CREAM - PLATTER</t>
  </si>
  <si>
    <t xml:space="preserve">SCA-CCAM1</t>
  </si>
  <si>
    <t xml:space="preserve">CHOCOLATE CAKE - ALA MODE</t>
  </si>
  <si>
    <t xml:space="preserve">BEVHC-VHC1</t>
  </si>
  <si>
    <t xml:space="preserve">VALENCIA HOT CHOCOLATE CUP</t>
  </si>
  <si>
    <t xml:space="preserve">BEVTEA-MNT1</t>
  </si>
  <si>
    <t xml:space="preserve">TEA BAG, PURE MINT 10 PIECES</t>
  </si>
  <si>
    <t xml:space="preserve">BEVSOD-SP330</t>
  </si>
  <si>
    <t xml:space="preserve">SOFTDRINKS SPRITE REGULAR 320 ML</t>
  </si>
  <si>
    <t xml:space="preserve">DB-BBAM</t>
  </si>
  <si>
    <t xml:space="preserve">BROWNIE BARS - ALA MODE</t>
  </si>
  <si>
    <t xml:space="preserve">PZST-PHA13</t>
  </si>
  <si>
    <t xml:space="preserve">SPADB-SBT4</t>
  </si>
  <si>
    <t xml:space="preserve">SIRLOIN BEEF TAPA - PLATTER</t>
  </si>
  <si>
    <t xml:space="preserve">HSSO-FBP1</t>
  </si>
  <si>
    <t xml:space="preserve">PAN-SEARED FISH</t>
  </si>
  <si>
    <t xml:space="preserve">LC-EBPL1</t>
  </si>
  <si>
    <t xml:space="preserve">MARY GRACE ENSAY BREAD PUDDING - LOAF</t>
  </si>
  <si>
    <t xml:space="preserve">SPFP-SSC4</t>
  </si>
  <si>
    <t xml:space="preserve">SPICY LEMON SCAMPI - PLATTER</t>
  </si>
  <si>
    <t xml:space="preserve">FSSH-SMA1</t>
  </si>
  <si>
    <t xml:space="preserve">SMOKED HAM WITH ALMONDS - SHARE</t>
  </si>
  <si>
    <t xml:space="preserve">XTRAB-GARLIC1</t>
  </si>
  <si>
    <t xml:space="preserve">EXTRA GARLIC BREAD</t>
  </si>
  <si>
    <t xml:space="preserve">XTRAR-GARLC1</t>
  </si>
  <si>
    <t xml:space="preserve">EXTRA RICE</t>
  </si>
  <si>
    <t xml:space="preserve">XTRAR-PLAIN1</t>
  </si>
  <si>
    <t xml:space="preserve">KM-SB1</t>
  </si>
  <si>
    <t xml:space="preserve">SPAGHETTI BOLOGNESE</t>
  </si>
  <si>
    <t xml:space="preserve">SEAS-PANDAN1</t>
  </si>
  <si>
    <t xml:space="preserve">SL-PANDANCOCONUT</t>
  </si>
  <si>
    <t xml:space="preserve">LC-BBL1</t>
  </si>
  <si>
    <t xml:space="preserve">BANANA BREAD - LOAF</t>
  </si>
  <si>
    <t xml:space="preserve">NFP-TOSALAD1</t>
  </si>
  <si>
    <t xml:space="preserve">TO BF SALADBOWL</t>
  </si>
  <si>
    <t xml:space="preserve">LC-BBS1</t>
  </si>
  <si>
    <t xml:space="preserve">BANANA BREAD - SLICE</t>
  </si>
  <si>
    <t xml:space="preserve">ADBSH-PT1</t>
  </si>
  <si>
    <t xml:space="preserve">PORK TOCINO - SHARE</t>
  </si>
  <si>
    <t xml:space="preserve">KM-FSMANGO1</t>
  </si>
  <si>
    <t xml:space="preserve">FRUIT SMOOTHIES - MANGO</t>
  </si>
  <si>
    <t xml:space="preserve">ADBE-HCO</t>
  </si>
  <si>
    <t xml:space="preserve">HAM &amp; CHEESE OMELETTE</t>
  </si>
  <si>
    <t xml:space="preserve">FPOLSH-TVL1</t>
  </si>
  <si>
    <t xml:space="preserve">TABLE LONGA</t>
  </si>
  <si>
    <t xml:space="preserve">BEVCF-AMAC1</t>
  </si>
  <si>
    <t xml:space="preserve">ADBE-MCO</t>
  </si>
  <si>
    <t xml:space="preserve">MUSHROOM AND CHEESE OMELETTE</t>
  </si>
  <si>
    <t xml:space="preserve">FSSH-GCO1</t>
  </si>
  <si>
    <t xml:space="preserve">GRILLED CHICKEN AND ORANGES - SHARE</t>
  </si>
  <si>
    <t xml:space="preserve">BEVSOD-RO330</t>
  </si>
  <si>
    <t xml:space="preserve">SOFTDRINKS ROYAL ORANGE 320 ML</t>
  </si>
  <si>
    <t xml:space="preserve">CRC-UCR1</t>
  </si>
  <si>
    <t xml:space="preserve">CR UBE</t>
  </si>
  <si>
    <t xml:space="preserve">CCWE-CT8X2.5</t>
  </si>
  <si>
    <t xml:space="preserve">CHOCOLATE TRUFFLE 8X2.5 M</t>
  </si>
  <si>
    <t xml:space="preserve">HSSE-VOF1</t>
  </si>
  <si>
    <t xml:space="preserve">VEGETABLES ON FOCACCIA SET</t>
  </si>
  <si>
    <t xml:space="preserve">BEVHC-SMHC1</t>
  </si>
  <si>
    <t xml:space="preserve">SPICY MEXICANA HOT CHOCOLATE CUP</t>
  </si>
  <si>
    <t xml:space="preserve">SPFS-PSMPV4</t>
  </si>
  <si>
    <t xml:space="preserve">PRAWN SALAD WITH PAPAYA - PLATTER</t>
  </si>
  <si>
    <t xml:space="preserve">PAL-UQ1</t>
  </si>
  <si>
    <t xml:space="preserve">LENGUA UBE</t>
  </si>
  <si>
    <t xml:space="preserve">KM-CFT1</t>
  </si>
  <si>
    <t xml:space="preserve">CHOCOLATE FRENCH TOAST</t>
  </si>
  <si>
    <t xml:space="preserve">KM-FSTRAW1</t>
  </si>
  <si>
    <t xml:space="preserve">FRUIT SMOOTHIES - STRAWBERRY</t>
  </si>
  <si>
    <t xml:space="preserve">BEVWTR-MARIS1</t>
  </si>
  <si>
    <t xml:space="preserve">Water Bottle</t>
  </si>
  <si>
    <t xml:space="preserve">KM-MGCRHC1</t>
  </si>
  <si>
    <t xml:space="preserve">MARY GRACE CR &amp; BABY MG HOT CHOCOLATE</t>
  </si>
  <si>
    <t xml:space="preserve">LC-EBPAM1</t>
  </si>
  <si>
    <t xml:space="preserve">MARY GRACE ENSAY BREAD PUDDING - ALA</t>
  </si>
  <si>
    <t xml:space="preserve">EQT-BC1</t>
  </si>
  <si>
    <t xml:space="preserve">EQ TWIST BANANA CHOCOLATE - PC</t>
  </si>
  <si>
    <t xml:space="preserve">EQT-CA1</t>
  </si>
  <si>
    <t xml:space="preserve">EQ TWIST CINNAMON APPLE - PC</t>
  </si>
  <si>
    <t xml:space="preserve">FSSH-FKPCV1</t>
  </si>
  <si>
    <t xml:space="preserve">FRIED KESONG PUTI &amp; CALAMANSI - SHARE</t>
  </si>
  <si>
    <t xml:space="preserve">CCWE-SS9X13</t>
  </si>
  <si>
    <t xml:space="preserve">STRAWBERRY SHORTCAKE 9X13 M</t>
  </si>
  <si>
    <t xml:space="preserve">PAC-ACL1</t>
  </si>
  <si>
    <t xml:space="preserve">ALMOND COOKIE-LEMON</t>
  </si>
  <si>
    <t xml:space="preserve">SPFS-MGCS4</t>
  </si>
  <si>
    <t xml:space="preserve">MARY GRACE CEASAR SALAD - PLATTER</t>
  </si>
  <si>
    <t xml:space="preserve">BEVTEA-RED1</t>
  </si>
  <si>
    <t xml:space="preserve">TEA BAG, RED TANGO 10 PIECES</t>
  </si>
  <si>
    <t xml:space="preserve">NFT-HBDG1</t>
  </si>
  <si>
    <t xml:space="preserve">HBDGOLDTOP</t>
  </si>
  <si>
    <t xml:space="preserve">HSSE-FBP1</t>
  </si>
  <si>
    <t xml:space="preserve">PAN-SEARED FISH SET</t>
  </si>
  <si>
    <t xml:space="preserve">FPOLSH-CO1</t>
  </si>
  <si>
    <t xml:space="preserve">TABLE CHORIZO &amp; OLIVES</t>
  </si>
  <si>
    <t xml:space="preserve">BEVCF-OATM</t>
  </si>
  <si>
    <t xml:space="preserve">OATMILK</t>
  </si>
  <si>
    <t xml:space="preserve">SPADB-FBB4</t>
  </si>
  <si>
    <t xml:space="preserve">DAING NA BANGUS - PLATTER</t>
  </si>
  <si>
    <t xml:space="preserve">AMBP-HPCLS1</t>
  </si>
  <si>
    <t xml:space="preserve">POTCHIPS - SALTED</t>
  </si>
  <si>
    <t xml:space="preserve">XTRAH-SMA05</t>
  </si>
  <si>
    <t xml:space="preserve">BALSAMIC SIDE SALAD</t>
  </si>
  <si>
    <t xml:space="preserve">SEAM-PANDAN1</t>
  </si>
  <si>
    <t xml:space="preserve">MI-PANDANCOCONUT</t>
  </si>
  <si>
    <t xml:space="preserve">AMBP-HPCOC1</t>
  </si>
  <si>
    <t xml:space="preserve">POTCHIPS - ONION AND CHIVES</t>
  </si>
  <si>
    <t xml:space="preserve">EQT-CTA1</t>
  </si>
  <si>
    <t xml:space="preserve">EQ TWIST CARAMEL &amp; TOASTED ALMONDS - PC</t>
  </si>
  <si>
    <t xml:space="preserve">CCWE-MO8X4</t>
  </si>
  <si>
    <t xml:space="preserve">MOCHA 8X4 M</t>
  </si>
  <si>
    <t xml:space="preserve">BEVTEA-IKISS1</t>
  </si>
  <si>
    <t xml:space="preserve">TEA BAG, ISLAND KISS 10 PIECES</t>
  </si>
  <si>
    <t xml:space="preserve">BEVHC-WHC1</t>
  </si>
  <si>
    <t xml:space="preserve">WHITE HOT CHOCOLATE CUP</t>
  </si>
  <si>
    <t xml:space="preserve">XTRAE-SUNNY1</t>
  </si>
  <si>
    <t xml:space="preserve">EXTRA EGG</t>
  </si>
  <si>
    <t xml:space="preserve">NFT-HBDP1</t>
  </si>
  <si>
    <t xml:space="preserve">HBDPINKTOP</t>
  </si>
  <si>
    <t xml:space="preserve">CCWE-CC8X4</t>
  </si>
  <si>
    <t xml:space="preserve">CLASSIC CHOCOLATE 8X4 M</t>
  </si>
  <si>
    <t xml:space="preserve">SOT-PPEQ1</t>
  </si>
  <si>
    <t xml:space="preserve">PERFECT PAIR EQ</t>
  </si>
  <si>
    <t xml:space="preserve">SPSO-SS4</t>
  </si>
  <si>
    <t xml:space="preserve">SUMMER SQUASH - PLATTER</t>
  </si>
  <si>
    <t xml:space="preserve">XTRAE-SCRAM1</t>
  </si>
  <si>
    <t xml:space="preserve">XTRAS-PC</t>
  </si>
  <si>
    <t xml:space="preserve">EXTRA POTATO CHIPS</t>
  </si>
  <si>
    <t xml:space="preserve">SOT-PPCR1</t>
  </si>
  <si>
    <t xml:space="preserve">PERFECT PAIR CR</t>
  </si>
  <si>
    <t xml:space="preserve">SPADB-CI4</t>
  </si>
  <si>
    <t xml:space="preserve">CHICKEN INASAL FILLET - PLATTER</t>
  </si>
  <si>
    <t xml:space="preserve">NFT-HBDB1</t>
  </si>
  <si>
    <t xml:space="preserve">HBDBLUETOP</t>
  </si>
  <si>
    <t xml:space="preserve">SPHS-CI-B4</t>
  </si>
  <si>
    <t xml:space="preserve">FILI BEEF PLATTER</t>
  </si>
  <si>
    <t xml:space="preserve">NFP-TOSB1</t>
  </si>
  <si>
    <t xml:space="preserve">TO SOUP BOWL 16</t>
  </si>
  <si>
    <t xml:space="preserve">XTRAR-ROSE1</t>
  </si>
  <si>
    <t xml:space="preserve">SPHS-FBT-B4</t>
  </si>
  <si>
    <t xml:space="preserve">PAN-SEARED FISH PLATTER</t>
  </si>
  <si>
    <t xml:space="preserve">SPFS-FKPCV4</t>
  </si>
  <si>
    <t xml:space="preserve">FRIED KESONG PUTI &amp; CALAMANSI - PLATTER</t>
  </si>
  <si>
    <t xml:space="preserve">FPCRSH-SS1</t>
  </si>
  <si>
    <t xml:space="preserve">TABLE SICILIAN</t>
  </si>
  <si>
    <t xml:space="preserve">SPADB-TVL4</t>
  </si>
  <si>
    <t xml:space="preserve">TOASTED VIGAN LONGGANISA - PLATTER</t>
  </si>
  <si>
    <t xml:space="preserve">CCWE-SSCV9X13</t>
  </si>
  <si>
    <t xml:space="preserve">SEA SALT CARAMEL VANILLA 9X13 M</t>
  </si>
  <si>
    <t xml:space="preserve">CCHCC-CUSTOM</t>
  </si>
  <si>
    <t xml:space="preserve">HIGHLYCUSTOM</t>
  </si>
  <si>
    <t xml:space="preserve">PZST-CB13</t>
  </si>
  <si>
    <t xml:space="preserve">SPSO-SC4</t>
  </si>
  <si>
    <t xml:space="preserve">SEAFOOD CHOWDER - PLATTER</t>
  </si>
  <si>
    <t xml:space="preserve">BEVCF-AMVC1</t>
  </si>
  <si>
    <t xml:space="preserve">CRC-UCRG1</t>
  </si>
  <si>
    <t xml:space="preserve">CR UBE GRILLED</t>
  </si>
  <si>
    <t xml:space="preserve">SPADB-PT4</t>
  </si>
  <si>
    <t xml:space="preserve">PORK TOCINO - PLATTER</t>
  </si>
  <si>
    <t xml:space="preserve">XTRAH-FKPCV05</t>
  </si>
  <si>
    <t xml:space="preserve">CALAMANSI SIDE SALAD</t>
  </si>
  <si>
    <t xml:space="preserve">XTRAE-MCO1</t>
  </si>
  <si>
    <t xml:space="preserve">CCWCL-SS8X4</t>
  </si>
  <si>
    <t xml:space="preserve">STRAWBERRY SHORTCAKE 8X5</t>
  </si>
  <si>
    <t xml:space="preserve">SIGC-SIGBX1</t>
  </si>
  <si>
    <t xml:space="preserve">SIGBOX6</t>
  </si>
  <si>
    <t xml:space="preserve">NFP-TODB1</t>
  </si>
  <si>
    <t xml:space="preserve">TO DIP BOWL 8</t>
  </si>
  <si>
    <t xml:space="preserve">NFM-THT1</t>
  </si>
  <si>
    <t xml:space="preserve">THE HOMEGROWN TOTE</t>
  </si>
  <si>
    <t xml:space="preserve">KM-FNC1</t>
  </si>
  <si>
    <t xml:space="preserve">FISH N’ CHIPS</t>
  </si>
  <si>
    <t xml:space="preserve">CCWEB-MWPREGTALL1</t>
  </si>
  <si>
    <t xml:space="preserve">MARION WREATH PINK REGTALL</t>
  </si>
  <si>
    <t xml:space="preserve">XTRAMAIN-TR</t>
  </si>
  <si>
    <t xml:space="preserve">XTRAE-HCO1</t>
  </si>
  <si>
    <t xml:space="preserve">SPHS-VLKP-B4</t>
  </si>
  <si>
    <t xml:space="preserve">VIGAN LONGGANISA AND KESONG PUTI PLATTER</t>
  </si>
  <si>
    <t xml:space="preserve">KM-WCF1</t>
  </si>
  <si>
    <t xml:space="preserve">CARAMEL BABYCCINO</t>
  </si>
  <si>
    <t xml:space="preserve">KM-CBC1</t>
  </si>
  <si>
    <t xml:space="preserve">SPSO-WM4</t>
  </si>
  <si>
    <t xml:space="preserve">WILD MUSHROOM - PLATTER</t>
  </si>
  <si>
    <t xml:space="preserve">CCWE-MO9X13</t>
  </si>
  <si>
    <t xml:space="preserve">MOCHA 9X13 M</t>
  </si>
  <si>
    <t xml:space="preserve">CCWE-CC8X2.5</t>
  </si>
  <si>
    <t xml:space="preserve">CLASSIC CHOCOLATE 8X2.5 M</t>
  </si>
  <si>
    <t xml:space="preserve">CCWE-SSCV8X4</t>
  </si>
  <si>
    <t xml:space="preserve">SEA SALT CARAMEL VANILLA 8X4 M</t>
  </si>
  <si>
    <t xml:space="preserve">NFP-TOBIOP1</t>
  </si>
  <si>
    <t xml:space="preserve">TO BIOPARTITION</t>
  </si>
  <si>
    <t xml:space="preserve">KM-BBCB1</t>
  </si>
  <si>
    <t xml:space="preserve">BROWNIE BAR &amp; CARAMEL BABYCCINO</t>
  </si>
  <si>
    <t xml:space="preserve">CCWE-BV8X2.5</t>
  </si>
  <si>
    <t xml:space="preserve">BLACK VELVET 8X2.5 M</t>
  </si>
  <si>
    <t xml:space="preserve">LC-MUC1</t>
  </si>
  <si>
    <t xml:space="preserve">BUTTER CHIFFON UBE</t>
  </si>
  <si>
    <t xml:space="preserve">NFC-GC1</t>
  </si>
  <si>
    <t xml:space="preserve">GOLD CANDLE</t>
  </si>
  <si>
    <t xml:space="preserve">XTRAC-MANGA1</t>
  </si>
  <si>
    <t xml:space="preserve">EXTRA BURONG MANGA</t>
  </si>
  <si>
    <t xml:space="preserve">SPFP-TVL4</t>
  </si>
  <si>
    <t xml:space="preserve">PLATTER LONGA</t>
  </si>
  <si>
    <t xml:space="preserve">NFP-TOSBHALF1</t>
  </si>
  <si>
    <t xml:space="preserve">TO SOUP BOWL 12</t>
  </si>
  <si>
    <t xml:space="preserve">NFC-PC1</t>
  </si>
  <si>
    <t xml:space="preserve">PINK CANDLE</t>
  </si>
  <si>
    <t xml:space="preserve">CCWE-CT10X14</t>
  </si>
  <si>
    <t xml:space="preserve">CHOCOLATE TRUFFLE 10X14 M</t>
  </si>
  <si>
    <t xml:space="preserve">CCWE-MO12X16</t>
  </si>
  <si>
    <t xml:space="preserve">MOCHA 12X16 M</t>
  </si>
  <si>
    <t xml:space="preserve">XTRAMAIN-CAESAR</t>
  </si>
  <si>
    <t xml:space="preserve">CAESAR SIDE SALAD</t>
  </si>
  <si>
    <t xml:space="preserve">CCWE-CT9X13</t>
  </si>
  <si>
    <t xml:space="preserve">CHOCOLATE TRUFFLE 9X13 M</t>
  </si>
  <si>
    <t xml:space="preserve">CCWCL-SS9X13</t>
  </si>
  <si>
    <t xml:space="preserve">STRAWBERRY SHORTCAKE 9X14</t>
  </si>
  <si>
    <t xml:space="preserve">XTRAH-WCHC</t>
  </si>
  <si>
    <t xml:space="preserve">EXTRA WHIPPED CREAM (HOT CHOCOLATE)</t>
  </si>
  <si>
    <t xml:space="preserve">CCWCL-BV8X2.5</t>
  </si>
  <si>
    <t xml:space="preserve">BLACK VELVET 8X2.6</t>
  </si>
  <si>
    <t xml:space="preserve">CCWE-CC10X14</t>
  </si>
  <si>
    <t xml:space="preserve">CLASSIC CHOCOLATE 10X14 M</t>
  </si>
  <si>
    <t xml:space="preserve">NFC-BC1</t>
  </si>
  <si>
    <t xml:space="preserve">BLUE CANDLE</t>
  </si>
  <si>
    <t xml:space="preserve">SPHS-VOF-B4</t>
  </si>
  <si>
    <t xml:space="preserve">VEGETABLES ON FOCACCIA PLATTER</t>
  </si>
  <si>
    <t xml:space="preserve">XTRAMAIN-COUS</t>
  </si>
  <si>
    <t xml:space="preserve">COUSCOUS MAIN</t>
  </si>
  <si>
    <t xml:space="preserve">CCWCL-BV9X13</t>
  </si>
  <si>
    <t xml:space="preserve">BLACK VELVET 9X14</t>
  </si>
  <si>
    <t xml:space="preserve">XTRAMAIN-SUMMER</t>
  </si>
  <si>
    <t xml:space="preserve">SUMMER SIDE SALAD</t>
  </si>
  <si>
    <t xml:space="preserve">XTRAB-BATAR1</t>
  </si>
  <si>
    <t xml:space="preserve">BREAD, SOURDOUGH WHOLE WHEAT BATARD</t>
  </si>
  <si>
    <t xml:space="preserve">CCWEB-CLDREGTALL1</t>
  </si>
  <si>
    <t xml:space="preserve">CLASSIC LACE DESIGN REGTALL</t>
  </si>
  <si>
    <t xml:space="preserve">CCWE-CC9X13</t>
  </si>
  <si>
    <t xml:space="preserve">CLASSIC CHOCOLATE 9X13 M</t>
  </si>
  <si>
    <t xml:space="preserve">CCWEB-CLD9X131</t>
  </si>
  <si>
    <t xml:space="preserve">CLASSIC LACE DESIGN 9X14</t>
  </si>
  <si>
    <t xml:space="preserve">CCWEB-MWBREGTALL1</t>
  </si>
  <si>
    <t xml:space="preserve">MARION WREATH BLUE REGTALL</t>
  </si>
  <si>
    <t xml:space="preserve">CCWCL-CT8X2.5</t>
  </si>
  <si>
    <t xml:space="preserve">CHOCOLATE TRUFFLE 8X2.6</t>
  </si>
  <si>
    <t xml:space="preserve">SPFP-CO4</t>
  </si>
  <si>
    <t xml:space="preserve">CHORIZO AND OLIVES - PLATTER</t>
  </si>
  <si>
    <t xml:space="preserve">XTRAO-ICREAM1</t>
  </si>
  <si>
    <t xml:space="preserve">EXTRA ICE CREAM</t>
  </si>
  <si>
    <t xml:space="preserve">CCWE-CT4X4</t>
  </si>
  <si>
    <t xml:space="preserve">CHOCOLATE TRUFFLE 4X4 M</t>
  </si>
  <si>
    <t xml:space="preserve">NFG-MGGC500</t>
  </si>
  <si>
    <t xml:space="preserve">MGGIFTCERT500</t>
  </si>
  <si>
    <t xml:space="preserve">NFC-SC1</t>
  </si>
  <si>
    <t xml:space="preserve">SILVER CANDLE</t>
  </si>
  <si>
    <t xml:space="preserve">CCWCL-BV8X4</t>
  </si>
  <si>
    <t xml:space="preserve">BLACK VELVET 8X4</t>
  </si>
  <si>
    <t xml:space="preserve">NFF-FEXT</t>
  </si>
  <si>
    <t xml:space="preserve">FUNCTION EXTENSION FEE</t>
  </si>
  <si>
    <t xml:space="preserve">XTRAE-POACH1</t>
  </si>
  <si>
    <t xml:space="preserve">CCWE-SS8X4</t>
  </si>
  <si>
    <t xml:space="preserve">STRAWBERRY SHORTCAKE 8X4 M</t>
  </si>
  <si>
    <t xml:space="preserve">SPFP-SS4</t>
  </si>
  <si>
    <t xml:space="preserve">PLATTER SICILIAN</t>
  </si>
  <si>
    <t xml:space="preserve">CCWEB-EMTREGTALL1</t>
  </si>
  <si>
    <t xml:space="preserve">EMILIA TIARA REGTALL</t>
  </si>
  <si>
    <t xml:space="preserve">CCWEB-ZCREGTALL1</t>
  </si>
  <si>
    <t xml:space="preserve">ZELLIE CROWN REGTALL</t>
  </si>
  <si>
    <t xml:space="preserve">NFP-TOECO1</t>
  </si>
  <si>
    <t xml:space="preserve">TO ECO BAG</t>
  </si>
  <si>
    <t xml:space="preserve">CCWE-MO4X4</t>
  </si>
  <si>
    <t xml:space="preserve">MOCHA 4X4 M</t>
  </si>
  <si>
    <t xml:space="preserve">CCWEB-ERT12X161</t>
  </si>
  <si>
    <t xml:space="preserve">ERNESTINE TIARA 12X17</t>
  </si>
  <si>
    <t xml:space="preserve">CCWCL-CWC8X4</t>
  </si>
  <si>
    <t xml:space="preserve">CARROT CAKE 8X5</t>
  </si>
  <si>
    <t xml:space="preserve">CCWEB-CB10X141</t>
  </si>
  <si>
    <t xml:space="preserve">CHIARA BOUQUET 10X15</t>
  </si>
  <si>
    <t xml:space="preserve">CCWEB-MWP9X131</t>
  </si>
  <si>
    <t xml:space="preserve">MARION WREATH PINK 9X14</t>
  </si>
  <si>
    <t xml:space="preserve">CCWCL-SSCV8X4</t>
  </si>
  <si>
    <t xml:space="preserve">SEA SALT CARAMEL VANILLA 8X5</t>
  </si>
  <si>
    <t xml:space="preserve">CCWCL-DEDIFRT</t>
  </si>
  <si>
    <t xml:space="preserve">DEDICATION FEE REGTALL</t>
  </si>
  <si>
    <t xml:space="preserve">CCWEB-GC9X131</t>
  </si>
  <si>
    <t xml:space="preserve">GUADA CROWN 9X14</t>
  </si>
  <si>
    <t xml:space="preserve">CCWEB-LC9X131</t>
  </si>
  <si>
    <t xml:space="preserve">LUCIA CROWN 9X14</t>
  </si>
  <si>
    <t xml:space="preserve">CCWEB-MT9X131</t>
  </si>
  <si>
    <t xml:space="preserve">MARTINE TIARA 9X14</t>
  </si>
  <si>
    <t xml:space="preserve">CCWE-MGC8X2.5</t>
  </si>
  <si>
    <t xml:space="preserve">MARY GRACE CHEESECAKE 8X2.5 M</t>
  </si>
  <si>
    <t xml:space="preserve">CCWCL-MGC8X2.5</t>
  </si>
  <si>
    <t xml:space="preserve">MARY GRACE CHEESECAKE 8X2.6</t>
  </si>
  <si>
    <t xml:space="preserve">CCWEB-MWPMINITALL1</t>
  </si>
  <si>
    <t xml:space="preserve">MARION WREATH PINK MINITALL</t>
  </si>
  <si>
    <t xml:space="preserve">NFF-DEDIFW</t>
  </si>
  <si>
    <t xml:space="preserve">DEDICATIONFEEW</t>
  </si>
  <si>
    <t xml:space="preserve">CCWCL-CC8X2.5</t>
  </si>
  <si>
    <t xml:space="preserve">CLASSIC CHOCOLATE 8X2.6</t>
  </si>
  <si>
    <t xml:space="preserve">CCWEB-ZCMINITALL1</t>
  </si>
  <si>
    <t xml:space="preserve">ZELLIE CROWN MINITALL</t>
  </si>
  <si>
    <t xml:space="preserve">FPCR-CC1</t>
  </si>
  <si>
    <t xml:space="preserve">CLASSIC CARBONARA - PLATE</t>
  </si>
  <si>
    <t xml:space="preserve">CCWE-CC4X4</t>
  </si>
  <si>
    <t xml:space="preserve">CLASSIC CHOCOLATE 4X4 M</t>
  </si>
  <si>
    <t xml:space="preserve">CCWE-CT4X2.5</t>
  </si>
  <si>
    <t xml:space="preserve">CHOCOLATE TRUFFLE 4X2.5 M</t>
  </si>
  <si>
    <t xml:space="preserve">CCWEB-CBREGTALL1</t>
  </si>
  <si>
    <t xml:space="preserve">CHIARA BOUQUET REGTALL</t>
  </si>
  <si>
    <t xml:space="preserve">CCWEB-ERTREGTALL1</t>
  </si>
  <si>
    <t xml:space="preserve">ERNESTINE TIARA REGTALL</t>
  </si>
  <si>
    <t xml:space="preserve">CCWEB-LCREGTALL1</t>
  </si>
  <si>
    <t xml:space="preserve">LUCIA CROWN REGTALL</t>
  </si>
  <si>
    <t xml:space="preserve">CCWEB-CLD10X141</t>
  </si>
  <si>
    <t xml:space="preserve">CLASSIC LACE DESIGN 10X15</t>
  </si>
  <si>
    <t xml:space="preserve">CCWEB-MWBMINITALL1</t>
  </si>
  <si>
    <t xml:space="preserve">MARION WREATH BLUE MINITALL</t>
  </si>
  <si>
    <t xml:space="preserve">FPTO-PAIM1</t>
  </si>
  <si>
    <t xml:space="preserve">PASTA AMATRICIANA WITH MEATBALLS - PLATE</t>
  </si>
  <si>
    <t xml:space="preserve">CCWEB-ERTMINITALL1</t>
  </si>
  <si>
    <t xml:space="preserve">ERNESTINE TIARA MINITALL</t>
  </si>
  <si>
    <t xml:space="preserve">CCWEB-GCMINITALL1</t>
  </si>
  <si>
    <t xml:space="preserve">GUADA CROWN MINITALL</t>
  </si>
  <si>
    <t xml:space="preserve">SCSM-BV1</t>
  </si>
  <si>
    <t xml:space="preserve">CCWE-BV4X4</t>
  </si>
  <si>
    <t xml:space="preserve">BLACK VELVET 4X4 M</t>
  </si>
  <si>
    <t xml:space="preserve">ADB-CIF1</t>
  </si>
  <si>
    <t xml:space="preserve">CHICKEN INASAL FILLET - PLATE</t>
  </si>
  <si>
    <t xml:space="preserve">NFP-IB1</t>
  </si>
  <si>
    <t xml:space="preserve">INSULATED BAG</t>
  </si>
  <si>
    <t xml:space="preserve">FPTO-FTH1</t>
  </si>
  <si>
    <t xml:space="preserve">FRESH TOMATO AND HERB - PLATE</t>
  </si>
  <si>
    <t xml:space="preserve">CCWE-SSCV4X4</t>
  </si>
  <si>
    <t xml:space="preserve">SEA SALT CARAMEL VANILLA 4X4 M</t>
  </si>
  <si>
    <t xml:space="preserve">CCWE-MGC4X2.5</t>
  </si>
  <si>
    <t xml:space="preserve">MARY GRACE CHEESECAKE 4X2.5 M</t>
  </si>
  <si>
    <t xml:space="preserve">CCWCL-MGC4X2.5</t>
  </si>
  <si>
    <t xml:space="preserve">MARY GRACE CHEESECAKE 4X2.6</t>
  </si>
  <si>
    <t xml:space="preserve">BEVWTR-CRKBW1</t>
  </si>
  <si>
    <t xml:space="preserve">CRKBOTTLEDWATER</t>
  </si>
  <si>
    <t xml:space="preserve">SCSM-CC1</t>
  </si>
  <si>
    <t xml:space="preserve">CCWEB-CBMINITALL1</t>
  </si>
  <si>
    <t xml:space="preserve">CHIARA BOUQUET MINITALL</t>
  </si>
  <si>
    <t xml:space="preserve">CCWEB-CLDMINITALL1</t>
  </si>
  <si>
    <t xml:space="preserve">CLASSIC LACE DESIGN MINITALL</t>
  </si>
  <si>
    <t xml:space="preserve">CCWEB-EMTMINITALL1</t>
  </si>
  <si>
    <t xml:space="preserve">EMILIA TIARA MINITALL</t>
  </si>
  <si>
    <t xml:space="preserve">BEVCF-CAPH1</t>
  </si>
  <si>
    <t xml:space="preserve">CAPPUCCINO HOT CUP</t>
  </si>
  <si>
    <t xml:space="preserve">SCSM-CT1</t>
  </si>
  <si>
    <t xml:space="preserve">NFF-DEDIWEBM</t>
  </si>
  <si>
    <t xml:space="preserve">DEDIFEEWEBWHO</t>
  </si>
  <si>
    <t xml:space="preserve">SCSM-MGC1</t>
  </si>
  <si>
    <t xml:space="preserve">NFM-SP1</t>
  </si>
  <si>
    <t xml:space="preserve">STICKER PACK</t>
  </si>
  <si>
    <t xml:space="preserve">CCWCL-DEDIF913</t>
  </si>
  <si>
    <t xml:space="preserve">DEDICATION FEE 9X14</t>
  </si>
  <si>
    <t xml:space="preserve">NFF-DEDIFM</t>
  </si>
  <si>
    <t xml:space="preserve">DEDICATIONFEEM</t>
  </si>
  <si>
    <t xml:space="preserve">NFF-TOF</t>
  </si>
  <si>
    <t xml:space="preserve">TAKE OUT FEE</t>
  </si>
  <si>
    <t xml:space="preserve">NFT-FDAY1</t>
  </si>
  <si>
    <t xml:space="preserve">FDAY TOPPER</t>
  </si>
  <si>
    <t xml:space="preserve">BEVCF-AMEI1</t>
  </si>
  <si>
    <t xml:space="preserve">AMERICANO ICED CUP</t>
  </si>
  <si>
    <t xml:space="preserve">NFT-VDAY1</t>
  </si>
  <si>
    <t xml:space="preserve">LOVE TOPPER</t>
  </si>
  <si>
    <t xml:space="preserve">CCWCL-DEDIFMT</t>
  </si>
  <si>
    <t xml:space="preserve">DEDICATION FEE MINITALL</t>
  </si>
  <si>
    <t xml:space="preserve">NFF-DEDIADD</t>
  </si>
  <si>
    <t xml:space="preserve">ADDITIONALDEDICATION</t>
  </si>
  <si>
    <t xml:space="preserve">Kiosk categories with no July-2026 sales (seasonal: Christmas, Fruitcake, etc.)</t>
  </si>
  <si>
    <t xml:space="preserve">Total (ties to Model 2026 remainder)</t>
  </si>
  <si>
    <t xml:space="preserve">Items in class A (drive ~80%)</t>
  </si>
  <si>
    <t xml:space="preserve">Items with projected sales</t>
  </si>
  <si>
    <t xml:space="preserve">Class A as % of items</t>
  </si>
  <si>
    <t xml:space="preserve">Share of remainder delivered by class A</t>
  </si>
  <si>
    <t xml:space="preserve">Which items to prioritise to land the PHP 5B (revenue-based, provisional)</t>
  </si>
  <si>
    <t xml:space="preserve">Tiers come from Pareto_Items. Sizing = projected remainder x assumed uplift (blue cells). Not a forecast: levers overlap and need execution.</t>
  </si>
  <si>
    <t xml:space="preserve">Tier</t>
  </si>
  <si>
    <t xml:space="preserve">What it means</t>
  </si>
  <si>
    <t xml:space="preserve">Items</t>
  </si>
  <si>
    <t xml:space="preserve">Assumed uplift</t>
  </si>
  <si>
    <t xml:space="preserve">Impact (PHP M)</t>
  </si>
  <si>
    <t xml:space="preserve">1 PROTECT</t>
  </si>
  <si>
    <t xml:space="preserve">Top-80% items that are stable or growing: never run out, keep quality and visibility.</t>
  </si>
  <si>
    <t xml:space="preserve">2 FIX</t>
  </si>
  <si>
    <t xml:space="preserve">Top-80% items down &gt;5% YoY: restore to flat (uplift = their own decline).</t>
  </si>
  <si>
    <t xml:space="preserve">blended</t>
  </si>
  <si>
    <t xml:space="preserve">3 SCALE</t>
  </si>
  <si>
    <t xml:space="preserve">Outside the top 80% but new or growing 25%+: push visibility and bundles.</t>
  </si>
  <si>
    <t xml:space="preserve">4 MAINTAIN</t>
  </si>
  <si>
    <t xml:space="preserve">Everything else: no special action.</t>
  </si>
  <si>
    <t xml:space="preserve">Total lever impact (item-level view)</t>
  </si>
  <si>
    <t xml:space="preserve">Base-case landing (Model)</t>
  </si>
  <si>
    <t xml:space="preserve">Landing if item levers deliver</t>
  </si>
  <si>
    <t xml:space="preserve">Cushion vs PHP 5B</t>
  </si>
  <si>
    <t xml:space="preserve">1 PROTECT: top items by remaining revenue (stable or growing)</t>
  </si>
  <si>
    <t xml:space="preserve">Item</t>
  </si>
  <si>
    <t xml:space="preserve">Channel / category</t>
  </si>
  <si>
    <t xml:space="preserve">Growth % (Jan+Jul)</t>
  </si>
  <si>
    <t xml:space="preserve">Change (PHP M, 2 months)</t>
  </si>
  <si>
    <t xml:space="preserve">SIRLOIN BEEF TAPA - PLATE (ADB-SBT1)</t>
  </si>
  <si>
    <t xml:space="preserve">Cafe / ALL-DAY BREAKFAST</t>
  </si>
  <si>
    <t xml:space="preserve">MARY GRACE CHEESEROLLS - BOX OF 12 (CRC-MGCR12)</t>
  </si>
  <si>
    <t xml:space="preserve">Cafe / CHEESE ROLLS</t>
  </si>
  <si>
    <t xml:space="preserve">DAING NA BANGUS - PLATE (ADB-FBB1)</t>
  </si>
  <si>
    <t xml:space="preserve">MARY GRACE MUSHROOM CREAM - PLATE (FPCR-MGMC1)</t>
  </si>
  <si>
    <t xml:space="preserve">Cafe / FLAVORFUL PASTAS</t>
  </si>
  <si>
    <t xml:space="preserve">TOASTED VIGAN LONGGANISA - PLATE (ADB-TVL1)</t>
  </si>
  <si>
    <t xml:space="preserve">SPICY LEMON SCAMPI - PLATE (FPOL-SLS1)</t>
  </si>
  <si>
    <t xml:space="preserve">MARY GRACE CHEESEROLLS - BOX OF 6 (CRC-MGCR6)</t>
  </si>
  <si>
    <t xml:space="preserve">SEAFOOD PASTA - PLATE (FPOL-SP1)</t>
  </si>
  <si>
    <t xml:space="preserve">MARY GRACE HOT CHOCOLATE CUP (BEVHC-MGHC1)</t>
  </si>
  <si>
    <t xml:space="preserve">Cafe / BEVERAGES</t>
  </si>
  <si>
    <t xml:space="preserve">PERFECT PLATE - FRESH TOMATO &amp; HERB (PPP-FTHP1)</t>
  </si>
  <si>
    <t xml:space="preserve">Cafe / PERFECT PLATES</t>
  </si>
  <si>
    <t xml:space="preserve">MARY GRACE ENSAYMADA - BOX OF 6 (EQC-MGE6)</t>
  </si>
  <si>
    <t xml:space="preserve">Cafe / ENSAYMADAS</t>
  </si>
  <si>
    <t xml:space="preserve">AMERICANO HOT CUP (BEVCF-AMEH1)</t>
  </si>
  <si>
    <t xml:space="preserve">CRISPY CASSAVA CHIPS WITH DIP - PLATE (SS-CCOD1)</t>
  </si>
  <si>
    <t xml:space="preserve">Cafe / SAVORY STARTERS</t>
  </si>
  <si>
    <t xml:space="preserve">SMOKED SALMON AND CREAM - PLATE (FPCR-SSC1)</t>
  </si>
  <si>
    <t xml:space="preserve">MARY GRACE ENSAYMADA - BOX OF 12 (EQC-MGE12)</t>
  </si>
  <si>
    <t xml:space="preserve">CHOCOLATE TRUFFLE WHOLE (SCW-CT1)</t>
  </si>
  <si>
    <t xml:space="preserve">Cafe / SIGNATURE CAKES</t>
  </si>
  <si>
    <t xml:space="preserve">MANGO BENE WHOLE (SCW-MB1)</t>
  </si>
  <si>
    <t xml:space="preserve">SEAFOOD CHOWDER - BOWL (SO-SC1)</t>
  </si>
  <si>
    <t xml:space="preserve">Cafe / SOUPS</t>
  </si>
  <si>
    <t xml:space="preserve">SPANISH SARDINES AND OLIVES - PLATE (FPOL-SSO1)</t>
  </si>
  <si>
    <t xml:space="preserve">MARY GRACE CEASAR SALAD - PLATE (FS-MGCS1)</t>
  </si>
  <si>
    <t xml:space="preserve">Cafe / FRESH SALADS</t>
  </si>
  <si>
    <t xml:space="preserve">STEAK ANGUS RIBEYE - 200G (MA-ARS200)</t>
  </si>
  <si>
    <t xml:space="preserve">Cafe / MAINS</t>
  </si>
  <si>
    <t xml:space="preserve">SALMON WITH CREAMY DILL - PLATE (MA-SCDS1)</t>
  </si>
  <si>
    <t xml:space="preserve">MARY GRACE ENSAYMADA - PC (EQC-MGEG1)</t>
  </si>
  <si>
    <t xml:space="preserve">MANGO SHAKE GLASS (BEVFFS-M1)</t>
  </si>
  <si>
    <t xml:space="preserve">PRAWN SALAD WITH PAPAYA - PLATE (FS-PSMPV1)</t>
  </si>
  <si>
    <t xml:space="preserve">2 FIX: top-80% items that are shrinking (biggest first)</t>
  </si>
  <si>
    <t xml:space="preserve">RIB-EYE SALPICAO AND EGGS - PLATE (ADB-SALPI1)</t>
  </si>
  <si>
    <t xml:space="preserve">MARY GRACE CHEESEROLLS - PC (CRC-MGCR1)</t>
  </si>
  <si>
    <t xml:space="preserve">Kiosk &amp; Others / CHEESE ROLLS</t>
  </si>
  <si>
    <t xml:space="preserve">MANGO BENE SLICE (SCS-MB1)</t>
  </si>
  <si>
    <t xml:space="preserve">MARY GRACE ENSAYMADA - PC (EQC-MGE1)</t>
  </si>
  <si>
    <t xml:space="preserve">Kiosk &amp; Others / ENSAYMADA</t>
  </si>
  <si>
    <t xml:space="preserve">TOASTED ALMOND SANS RIVAL WHOLE (SCW-TASR1)</t>
  </si>
  <si>
    <t xml:space="preserve">Kiosk &amp; Others / SANSRIVAL</t>
  </si>
  <si>
    <t xml:space="preserve">MANGO BENE MINI - PC (SCM-MB1)</t>
  </si>
  <si>
    <t xml:space="preserve">CHOCOLATE RUM TIRAMISU SLICE - PC (SEAS-CTI1)</t>
  </si>
  <si>
    <t xml:space="preserve">STRAWBERRY SHORTCAKE WHOLE (SCW-SS1)</t>
  </si>
  <si>
    <t xml:space="preserve">Kiosk &amp; Others / SIGNATURE CAKES</t>
  </si>
  <si>
    <t xml:space="preserve">Kiosk &amp; Others / TRUFFLE</t>
  </si>
  <si>
    <t xml:space="preserve">RIB-EYE SALPICAO AND EGGS - SHARE (ADBSH-SALPI1)</t>
  </si>
  <si>
    <t xml:space="preserve">LATTE HOT CUP (BEVCF-LATH1)</t>
  </si>
  <si>
    <t xml:space="preserve">CHOCOLATE TRUFFLE MINI (SCM-CT1)</t>
  </si>
  <si>
    <t xml:space="preserve">CHEDDAR CHEESE TOMATO CAPERS - PLATE (SS-CCTC1)</t>
  </si>
  <si>
    <t xml:space="preserve">3 SCALE: growing or new items outside the top 80% (biggest recent revenue first)</t>
  </si>
  <si>
    <t xml:space="preserve">FILI BEEF SET (HSSE-FBT1)</t>
  </si>
  <si>
    <t xml:space="preserve">Cafe / HEARTY SANDWICHES</t>
  </si>
  <si>
    <t xml:space="preserve">VIGAN LONGGANISA AND KESONG PUTI (HSSO-VLKP1)</t>
  </si>
  <si>
    <t xml:space="preserve">SUMMER SALAD WITH STRAWBERRY - SHARE (FSSH-SUMMER1)</t>
  </si>
  <si>
    <t xml:space="preserve">CARROT CAKE MINI (SCM-CWC1)</t>
  </si>
  <si>
    <t xml:space="preserve">Kiosk &amp; Others / GRABFOOD</t>
  </si>
  <si>
    <t xml:space="preserve">new</t>
  </si>
  <si>
    <t xml:space="preserve">ITALIAN MEATBALL WHOLE (PZNE-IM13)</t>
  </si>
  <si>
    <t xml:space="preserve">Cafe / PIZZAS</t>
  </si>
  <si>
    <t xml:space="preserve">MARGHERITA WHOLE (PZNE-MARG13)</t>
  </si>
  <si>
    <t xml:space="preserve">CHICKEN INASAL SET (HSSE-CI1)</t>
  </si>
  <si>
    <t xml:space="preserve">PARMESAN CHICKEN TENDERS (KM-PCT1)</t>
  </si>
  <si>
    <t xml:space="preserve">Cafe / KIDS MENU</t>
  </si>
  <si>
    <t xml:space="preserve">AFFOGATO SLICE - PC (SEAS-AFFO1)</t>
  </si>
  <si>
    <t xml:space="preserve">Cafe / SEASONAL CAKES</t>
  </si>
  <si>
    <t xml:space="preserve">VIGAN LONGGANISA AND KESONG PUTI SET (HSSE-VLKP1)</t>
  </si>
  <si>
    <t xml:space="preserve">GARLIC SHRIMP (HSSO-PSS1)</t>
  </si>
  <si>
    <t xml:space="preserve">TSOKNUT LENGUA (PAL-CL1)</t>
  </si>
  <si>
    <t xml:space="preserve">Cafe / PASTRIES</t>
  </si>
  <si>
    <t xml:space="preserve">DOUBLE CHOCOLATE BROWNIES - BOX OF 8 (DB-DCHOCO8)</t>
  </si>
  <si>
    <t xml:space="preserve">Cafe / DESSERT BARS</t>
  </si>
  <si>
    <t xml:space="preserve">BISCOFF CRUNCH BROWNIES - BOX OF 8 (DB-BISCOF8)</t>
  </si>
  <si>
    <t xml:space="preserve">BANANA SHAKE GLASS (BEVFFS-B1)</t>
  </si>
  <si>
    <t xml:space="preserve">What it takes to land the PHP 5B: sensitivities and lever sizing (PHP millions)</t>
  </si>
  <si>
    <t xml:space="preserve">1) Landing vs target at different Oct 20-Dec 31 growth rates (vs the same days of 2025)</t>
  </si>
  <si>
    <t xml:space="preserve">Remainder YoY growth</t>
  </si>
  <si>
    <t xml:space="preserve">FY2026 landing</t>
  </si>
  <si>
    <t xml:space="preserve">Vs PHP 5B target</t>
  </si>
  <si>
    <t xml:space="preserve">Hit target?</t>
  </si>
  <si>
    <t xml:space="preserve">Break-even growth in the remainder</t>
  </si>
  <si>
    <t xml:space="preserve">2) December dependence</t>
  </si>
  <si>
    <t xml:space="preserve">Dec 2025 total net sales</t>
  </si>
  <si>
    <t xml:space="preserve">Dec 2026 implied by base case</t>
  </si>
  <si>
    <t xml:space="preserve">Share of the Oct 20-Dec 31 projection that is December</t>
  </si>
  <si>
    <t xml:space="preserve">Cushion vs target as % of projected December</t>
  </si>
  <si>
    <t xml:space="preserve">Each 1% on December is worth (PHP M)</t>
  </si>
  <si>
    <t xml:space="preserve">3) Lever sizing (illustrative: base x assumed uplift; blue cells are assumptions you can change)</t>
  </si>
  <si>
    <t xml:space="preserve">Lever</t>
  </si>
  <si>
    <t xml:space="preserve">Base it applies to (PHP M)</t>
  </si>
  <si>
    <t xml:space="preserve">Evidence from the data / how to execute</t>
  </si>
  <si>
    <t xml:space="preserve">Cafe same-store traffic +1.0 pt (all categories) in Oct 20-Dec 31</t>
  </si>
  <si>
    <t xml:space="preserve">Same-store volume is shrinking in most big categories (Beverages qty -5%, Perfect Plates -7%, Ensaymadas -7%); growth is price-led. Loyalty / bundle / meal-deal offers aimed at visits, not price.</t>
  </si>
  <si>
    <t xml:space="preserve">December cakes &amp; celebration push (Signature + Loaf Cakes) +3%</t>
  </si>
  <si>
    <t xml:space="preserve">Signature Cakes jump from ~PHP 56M in Nov to ~PHP 84M in Dec 2025 (cafe same-stores). Secure cake pre-orders, production capacity and stock for 2026 peak.</t>
  </si>
  <si>
    <t xml:space="preserve">Kiosk December / Christmas programme +5%</t>
  </si>
  <si>
    <t xml:space="preserve">Kiosk Same-Store doubles in Dec 2025 (~PHP 37M Nov to ~PHP 74M Dec). Christmas, Fruitcake, Mango Bene and Cheese Rolls lead the uplift.</t>
  </si>
  <si>
    <t xml:space="preserve">Stop the decline in Perfect Plates, Ensaymadas, Loaf Cakes (back to flat)</t>
  </si>
  <si>
    <t xml:space="preserve">YTD same-store: Perfect Plates -8.1%, Ensaymadas -5.6%, Loaf Cakes -10.7%. Uplift = blended decline rate; review pricing, availability, promo and menu placement.</t>
  </si>
  <si>
    <t xml:space="preserve">New cafes opened 2026: Sep run-rate holds vs Q3 average</t>
  </si>
  <si>
    <t xml:space="preserve">Cohort sales stepped up to ~PHP 5.8M in Sep from ~PHP 3.8M in Jul. Base model uses the Q3 average, so holding Sep adds the difference. Needs store counts to refine.</t>
  </si>
  <si>
    <t xml:space="preserve">Kiosk delivery (GrabFood) stops declining</t>
  </si>
  <si>
    <t xml:space="preserve">GrabFood is the biggest kiosk drag YTD (-12.6%, about -PHP 7.5M). Check delivery fees, promos and availability on the platform.</t>
  </si>
  <si>
    <t xml:space="preserve">Total of levers (not a forecast: levers overlap and need execution)</t>
  </si>
  <si>
    <t xml:space="preserve">Base-case landing</t>
  </si>
  <si>
    <t xml:space="preserve">Landing if levers deliver in full</t>
  </si>
  <si>
    <t xml:space="preserve">Cushion vs target with levers</t>
  </si>
  <si>
    <t xml:space="preserve">Cushion as % of target</t>
  </si>
  <si>
    <t xml:space="preserve">Reconciliation and data notes</t>
  </si>
  <si>
    <t xml:space="preserve">Extract</t>
  </si>
  <si>
    <t xml:space="preserve">Receipts</t>
  </si>
  <si>
    <t xml:space="preserve">Header net (PHP M)</t>
  </si>
  <si>
    <t xml:space="preserve">Line-level net allocated (PHP M)</t>
  </si>
  <si>
    <t xml:space="preserve">Line / header</t>
  </si>
  <si>
    <t xml:space="preserve">Scale factor used</t>
  </si>
  <si>
    <t xml:space="preserve">Note</t>
  </si>
  <si>
    <t xml:space="preserve">Jan_July_2025</t>
  </si>
  <si>
    <t xml:space="preserve">Raw export ties at ~95% of header (lines exclude voids/other header items)</t>
  </si>
  <si>
    <t xml:space="preserve">July2025_Jan2026</t>
  </si>
  <si>
    <t xml:space="preserve">Jan_July_2026</t>
  </si>
  <si>
    <t xml:space="preserve">Includes ~PHP 45M of estimated rows (export hit the 1,000-row limit); raw export was only 92.9% of header</t>
  </si>
  <si>
    <t xml:space="preserve">July2026_Present</t>
  </si>
  <si>
    <t xml:space="preserve">DATA ISSUES TO CLOSE</t>
  </si>
  <si>
    <t xml:space="preserve">1. The Jan-Jun 2026 export stopped at exactly 1,000 rows. It dropped the tail of Kiosk Same-Store (Sansrival to Truffle) and all "Others" rows. I rebuilt them from the complete January 2026 tab, scaled by month. Re-run that period with the row limit removed (or in two 3-month runs) to replace the estimates. The total is unaffected because every extract is scaled to receipt-level net.</t>
  </si>
  <si>
    <t xml:space="preserve">2. Line-level net is ~95% of receipt-level net in every complete extract. Each extract is scaled to its header_net so totals match what POSHQ / the STRAT SHEET should show. Jan 2025 ties exactly to your Step 3 result (PHP 402.3M). The mix across categories assumes the 5% gap is spread evenly.</t>
  </si>
  <si>
    <t xml:space="preserve">3. The tab named "2026" is a duplicate January 2026 run; it was used only to patch the truncated rows, not added to totals.</t>
  </si>
  <si>
    <t xml:space="preserve">4. 2026 data runs to Oct 19. Oct 2025 is pro-rated 19/31 and the Oct 20-31 base is 12/31 of Oct 2025 (even daily pace assumed).</t>
  </si>
  <si>
    <t xml:space="preserve">5. "Closing" stores = branches with a date_closed recorded; they still trade for part of the period. Same-Store = date_opened before 2025-01-01 and no close date. "Others" (one branch) is folded into Kiosk.</t>
  </si>
  <si>
    <t xml:space="preserve">6. Seasonality comes from 2025 only. December 2025 was PHP 574M vs PHP 397M in November. If 2024 shows a smaller December step-up, the landing is lower than shown.</t>
  </si>
  <si>
    <t xml:space="preserve">7. Net sales here are VAT-inclusive and net of discounts (receipt net_amount), matching the stated basis of the target.</t>
  </si>
  <si>
    <t xml:space="preserve">8. ITEM EXPORTS ARE INCOMPLETE: each of the four item files holds only its first 1,000 rows (the rest is "undefined" filler from the export). Only Jan 2025, Jul 2025, Jan 2026 and Jul 2026 are complete; they match the category extracts to the peso. Pareto_Items and Item_Priorities use those months. Run pull_item_data.py to get every month and replace the provisional results.</t>
  </si>
  <si>
    <t xml:space="preserve">9. Item remainder = the category projected remainder (Pareto_Categories) shared across its items by July-2026 revenue. Items that sell mainly in December are under-stated until item-level Q4 2025 data is available. About PHP 26M of kiosk seasonal categories with no July sales is left unallocated.</t>
  </si>
  <si>
    <t xml:space="preserve">10. Item revenue for ranking = unit price / 1.12 x qty (ex-VAT, team definition). Peso projections stay on the VAT-inclusive net basis of the target. Items missing an item_id in the master (about 0.07% of sales) are combined into one "(unmapped)" line.</t>
  </si>
</sst>
</file>

<file path=xl/styles.xml><?xml version="1.0" encoding="utf-8"?>
<styleSheet xmlns="http://schemas.openxmlformats.org/spreadsheetml/2006/main">
  <numFmts count="15">
    <numFmt numFmtId="164" formatCode="General"/>
    <numFmt numFmtId="165" formatCode="#,##0.0;\(#,##0.0\);\-"/>
    <numFmt numFmtId="166" formatCode="0.0%;\(0.0%\);\-"/>
    <numFmt numFmtId="167" formatCode="#,##0;\-#,##0;;"/>
    <numFmt numFmtId="168" formatCode="#,##0"/>
    <numFmt numFmtId="169" formatCode="#,##0;\(#,##0\);\-"/>
    <numFmt numFmtId="170" formatCode="0.00"/>
    <numFmt numFmtId="171" formatCode="#,##0.0"/>
    <numFmt numFmtId="172" formatCode="0.00;\(0.00\);\-"/>
    <numFmt numFmtId="173" formatCode="0.0000"/>
    <numFmt numFmtId="174" formatCode="0"/>
    <numFmt numFmtId="175" formatCode="#,##0.00;\(#,##0.00\);\-"/>
    <numFmt numFmtId="176" formatCode="0.00%"/>
    <numFmt numFmtId="177" formatCode="0%"/>
    <numFmt numFmtId="178" formatCode="#,##0.00"/>
  </numFmts>
  <fonts count="14">
    <font>
      <sz val="11"/>
      <color theme="1"/>
      <name val="Calibri"/>
      <family val="2"/>
      <charset val="1"/>
    </font>
    <font>
      <sz val="10"/>
      <name val="Arial"/>
      <family val="0"/>
    </font>
    <font>
      <sz val="10"/>
      <name val="Arial"/>
      <family val="0"/>
    </font>
    <font>
      <sz val="10"/>
      <name val="Arial"/>
      <family val="0"/>
    </font>
    <font>
      <b val="true"/>
      <sz val="10"/>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0"/>
      <name val="Arial"/>
      <family val="0"/>
      <charset val="1"/>
    </font>
    <font>
      <b val="true"/>
      <sz val="18"/>
      <color rgb="FF000000"/>
      <name val="Calibri"/>
      <family val="2"/>
    </font>
    <font>
      <sz val="10"/>
      <color rgb="FF000000"/>
      <name val="Calibri"/>
      <family val="2"/>
    </font>
    <font>
      <sz val="10"/>
      <color rgb="FF0000FF"/>
      <name val="Arial"/>
      <family val="0"/>
      <charset val="1"/>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9" fillId="3"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8" fontId="12" fillId="0" borderId="0" xfId="0" applyFont="tru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595959"/>
      <rgbColor rgb="FF7F93B5"/>
      <rgbColor rgb="FF1F3864"/>
      <rgbColor rgb="FF2E8B57"/>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SOG Waterfall - FY2025 baseline to FY2026 projected (PHP M, axis starts at 4,000)</a:t>
            </a:r>
          </a:p>
        </c:rich>
      </c:tx>
      <c:overlay val="0"/>
      <c:spPr>
        <a:noFill/>
        <a:ln w="0">
          <a:noFill/>
        </a:ln>
      </c:spPr>
    </c:title>
    <c:autoTitleDeleted val="0"/>
    <c:plotArea>
      <c:barChart>
        <c:barDir val="col"/>
        <c:grouping val="stacked"/>
        <c:varyColors val="0"/>
        <c:ser>
          <c:idx val="0"/>
          <c:order val="0"/>
          <c:tx>
            <c:strRef>
              <c:f>"Base"</c:f>
              <c:strCache>
                <c:ptCount val="1"/>
                <c:pt idx="0">
                  <c:v>Base</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SOG_Waterfall!$A$5:$A$15</c:f>
              <c:strCache>
                <c:ptCount val="11"/>
                <c:pt idx="0">
                  <c:v>Cafe Baseline</c:v>
                </c:pt>
                <c:pt idx="1">
                  <c:v>Kiosk Baseline</c:v>
                </c:pt>
                <c:pt idx="2">
                  <c:v>Cafe Same-Store</c:v>
                </c:pt>
                <c:pt idx="3">
                  <c:v>Cafe New 2025</c:v>
                </c:pt>
                <c:pt idx="4">
                  <c:v>Cafe New 2026</c:v>
                </c:pt>
                <c:pt idx="5">
                  <c:v>Cafe Closing</c:v>
                </c:pt>
                <c:pt idx="6">
                  <c:v>Kiosk Same-Store</c:v>
                </c:pt>
                <c:pt idx="7">
                  <c:v>Kiosk New</c:v>
                </c:pt>
                <c:pt idx="8">
                  <c:v>Kiosk Closing</c:v>
                </c:pt>
                <c:pt idx="9">
                  <c:v>2026 Total</c:v>
                </c:pt>
                <c:pt idx="10">
                  <c:v>PHP 5B Target</c:v>
                </c:pt>
              </c:strCache>
            </c:strRef>
          </c:cat>
          <c:val>
            <c:numRef>
              <c:f>SOG_Waterfall!$E$5:$E$15</c:f>
              <c:numCache>
                <c:formatCode>#,##0.0;\(#,##0.0\);\-</c:formatCode>
                <c:ptCount val="11"/>
                <c:pt idx="0">
                  <c:v>0</c:v>
                </c:pt>
                <c:pt idx="1">
                  <c:v>4302.23019169386</c:v>
                </c:pt>
                <c:pt idx="2">
                  <c:v>4830.53025385</c:v>
                </c:pt>
                <c:pt idx="3">
                  <c:v>4900.49615071687</c:v>
                </c:pt>
                <c:pt idx="4">
                  <c:v>5046.88672058026</c:v>
                </c:pt>
                <c:pt idx="5">
                  <c:v>5040.78618569641</c:v>
                </c:pt>
                <c:pt idx="6">
                  <c:v>5026.84621418835</c:v>
                </c:pt>
                <c:pt idx="7">
                  <c:v>5026.84621418835</c:v>
                </c:pt>
                <c:pt idx="8">
                  <c:v>5016.85625690429</c:v>
                </c:pt>
                <c:pt idx="9">
                  <c:v>0</c:v>
                </c:pt>
                <c:pt idx="10">
                  <c:v>0</c:v>
                </c:pt>
              </c:numCache>
            </c:numRef>
          </c:val>
        </c:ser>
        <c:ser>
          <c:idx val="1"/>
          <c:order val="1"/>
          <c:tx>
            <c:strRef>
              <c:f>"Baseline / total"</c:f>
              <c:strCache>
                <c:ptCount val="1"/>
                <c:pt idx="0">
                  <c:v>Baseline / total</c:v>
                </c:pt>
              </c:strCache>
            </c:strRef>
          </c:tx>
          <c:spPr>
            <a:solidFill>
              <a:srgbClr val="7f93b5"/>
            </a:solidFill>
            <a:ln w="0">
              <a:noFill/>
            </a:ln>
          </c:spPr>
          <c:invertIfNegative val="0"/>
          <c:dPt>
            <c:idx val="9"/>
            <c:invertIfNegative val="0"/>
            <c:spPr>
              <a:solidFill>
                <a:srgbClr val="1f3864"/>
              </a:solidFill>
              <a:ln w="0">
                <a:noFill/>
              </a:ln>
            </c:spPr>
          </c:dPt>
          <c:dPt>
            <c:idx val="10"/>
            <c:invertIfNegative val="0"/>
            <c:spPr>
              <a:solidFill>
                <a:srgbClr val="c9a227"/>
              </a:solidFill>
              <a:ln w="0">
                <a:noFill/>
              </a:ln>
            </c:spPr>
          </c:dPt>
          <c:dLbls>
            <c:numFmt formatCode="#,##0;\-#,##0;;" sourceLinked="1"/>
            <c:dLbl>
              <c:idx val="9"/>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dLbl>
            <c:dLbl>
              <c:idx val="10"/>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SOG_Waterfall!$A$5:$A$15</c:f>
              <c:strCache>
                <c:ptCount val="11"/>
                <c:pt idx="0">
                  <c:v>Cafe Baseline</c:v>
                </c:pt>
                <c:pt idx="1">
                  <c:v>Kiosk Baseline</c:v>
                </c:pt>
                <c:pt idx="2">
                  <c:v>Cafe Same-Store</c:v>
                </c:pt>
                <c:pt idx="3">
                  <c:v>Cafe New 2025</c:v>
                </c:pt>
                <c:pt idx="4">
                  <c:v>Cafe New 2026</c:v>
                </c:pt>
                <c:pt idx="5">
                  <c:v>Cafe Closing</c:v>
                </c:pt>
                <c:pt idx="6">
                  <c:v>Kiosk Same-Store</c:v>
                </c:pt>
                <c:pt idx="7">
                  <c:v>Kiosk New</c:v>
                </c:pt>
                <c:pt idx="8">
                  <c:v>Kiosk Closing</c:v>
                </c:pt>
                <c:pt idx="9">
                  <c:v>2026 Total</c:v>
                </c:pt>
                <c:pt idx="10">
                  <c:v>PHP 5B Target</c:v>
                </c:pt>
              </c:strCache>
            </c:strRef>
          </c:cat>
          <c:val>
            <c:numRef>
              <c:f>SOG_Waterfall!$F$5:$F$15</c:f>
              <c:numCache>
                <c:formatCode>#,##0.0;\(#,##0.0\);\-</c:formatCode>
                <c:ptCount val="11"/>
                <c:pt idx="0">
                  <c:v>4302.23019169386</c:v>
                </c:pt>
                <c:pt idx="1">
                  <c:v>528.300062156135</c:v>
                </c:pt>
                <c:pt idx="2">
                  <c:v>0</c:v>
                </c:pt>
                <c:pt idx="3">
                  <c:v>0</c:v>
                </c:pt>
                <c:pt idx="4">
                  <c:v>0</c:v>
                </c:pt>
                <c:pt idx="5">
                  <c:v>0</c:v>
                </c:pt>
                <c:pt idx="6">
                  <c:v>0</c:v>
                </c:pt>
                <c:pt idx="7">
                  <c:v>0</c:v>
                </c:pt>
                <c:pt idx="8">
                  <c:v>0</c:v>
                </c:pt>
                <c:pt idx="9">
                  <c:v>5016.85625690429</c:v>
                </c:pt>
                <c:pt idx="10">
                  <c:v>5000</c:v>
                </c:pt>
              </c:numCache>
            </c:numRef>
          </c:val>
        </c:ser>
        <c:ser>
          <c:idx val="2"/>
          <c:order val="2"/>
          <c:tx>
            <c:strRef>
              <c:f>"Increase"</c:f>
              <c:strCache>
                <c:ptCount val="1"/>
                <c:pt idx="0">
                  <c:v>Increase</c:v>
                </c:pt>
              </c:strCache>
            </c:strRef>
          </c:tx>
          <c:spPr>
            <a:solidFill>
              <a:srgbClr val="2e8b57"/>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SOG_Waterfall!$A$5:$A$15</c:f>
              <c:strCache>
                <c:ptCount val="11"/>
                <c:pt idx="0">
                  <c:v>Cafe Baseline</c:v>
                </c:pt>
                <c:pt idx="1">
                  <c:v>Kiosk Baseline</c:v>
                </c:pt>
                <c:pt idx="2">
                  <c:v>Cafe Same-Store</c:v>
                </c:pt>
                <c:pt idx="3">
                  <c:v>Cafe New 2025</c:v>
                </c:pt>
                <c:pt idx="4">
                  <c:v>Cafe New 2026</c:v>
                </c:pt>
                <c:pt idx="5">
                  <c:v>Cafe Closing</c:v>
                </c:pt>
                <c:pt idx="6">
                  <c:v>Kiosk Same-Store</c:v>
                </c:pt>
                <c:pt idx="7">
                  <c:v>Kiosk New</c:v>
                </c:pt>
                <c:pt idx="8">
                  <c:v>Kiosk Closing</c:v>
                </c:pt>
                <c:pt idx="9">
                  <c:v>2026 Total</c:v>
                </c:pt>
                <c:pt idx="10">
                  <c:v>PHP 5B Target</c:v>
                </c:pt>
              </c:strCache>
            </c:strRef>
          </c:cat>
          <c:val>
            <c:numRef>
              <c:f>SOG_Waterfall!$G$5:$G$15</c:f>
              <c:numCache>
                <c:formatCode>#,##0.0;\(#,##0.0\);\-</c:formatCode>
                <c:ptCount val="11"/>
                <c:pt idx="0">
                  <c:v>0</c:v>
                </c:pt>
                <c:pt idx="1">
                  <c:v>0</c:v>
                </c:pt>
                <c:pt idx="2">
                  <c:v>69.9658968668723</c:v>
                </c:pt>
                <c:pt idx="3">
                  <c:v>146.390569863388</c:v>
                </c:pt>
                <c:pt idx="4">
                  <c:v>41.0648345406713</c:v>
                </c:pt>
                <c:pt idx="5">
                  <c:v>0</c:v>
                </c:pt>
                <c:pt idx="6">
                  <c:v>0</c:v>
                </c:pt>
                <c:pt idx="7">
                  <c:v>11.09790648512</c:v>
                </c:pt>
                <c:pt idx="8">
                  <c:v>0</c:v>
                </c:pt>
                <c:pt idx="9">
                  <c:v>0</c:v>
                </c:pt>
                <c:pt idx="10">
                  <c:v>0</c:v>
                </c:pt>
              </c:numCache>
            </c:numRef>
          </c:val>
        </c:ser>
        <c:ser>
          <c:idx val="3"/>
          <c:order val="3"/>
          <c:tx>
            <c:strRef>
              <c:f>"Decrease"</c:f>
              <c:strCache>
                <c:ptCount val="1"/>
                <c:pt idx="0">
                  <c:v>Decrease</c:v>
                </c:pt>
              </c:strCache>
            </c:strRef>
          </c:tx>
          <c:spPr>
            <a:solidFill>
              <a:srgbClr val="c0392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SOG_Waterfall!$A$5:$A$15</c:f>
              <c:strCache>
                <c:ptCount val="11"/>
                <c:pt idx="0">
                  <c:v>Cafe Baseline</c:v>
                </c:pt>
                <c:pt idx="1">
                  <c:v>Kiosk Baseline</c:v>
                </c:pt>
                <c:pt idx="2">
                  <c:v>Cafe Same-Store</c:v>
                </c:pt>
                <c:pt idx="3">
                  <c:v>Cafe New 2025</c:v>
                </c:pt>
                <c:pt idx="4">
                  <c:v>Cafe New 2026</c:v>
                </c:pt>
                <c:pt idx="5">
                  <c:v>Cafe Closing</c:v>
                </c:pt>
                <c:pt idx="6">
                  <c:v>Kiosk Same-Store</c:v>
                </c:pt>
                <c:pt idx="7">
                  <c:v>Kiosk New</c:v>
                </c:pt>
                <c:pt idx="8">
                  <c:v>Kiosk Closing</c:v>
                </c:pt>
                <c:pt idx="9">
                  <c:v>2026 Total</c:v>
                </c:pt>
                <c:pt idx="10">
                  <c:v>PHP 5B Target</c:v>
                </c:pt>
              </c:strCache>
            </c:strRef>
          </c:cat>
          <c:val>
            <c:numRef>
              <c:f>SOG_Waterfall!$H$5:$H$15</c:f>
              <c:numCache>
                <c:formatCode>#,##0.0;\(#,##0.0\);\-</c:formatCode>
                <c:ptCount val="11"/>
                <c:pt idx="0">
                  <c:v>0</c:v>
                </c:pt>
                <c:pt idx="1">
                  <c:v>0</c:v>
                </c:pt>
                <c:pt idx="2">
                  <c:v>0</c:v>
                </c:pt>
                <c:pt idx="3">
                  <c:v>0</c:v>
                </c:pt>
                <c:pt idx="4">
                  <c:v>0</c:v>
                </c:pt>
                <c:pt idx="5">
                  <c:v>47.1653694245224</c:v>
                </c:pt>
                <c:pt idx="6">
                  <c:v>13.9399715080582</c:v>
                </c:pt>
                <c:pt idx="7">
                  <c:v>0</c:v>
                </c:pt>
                <c:pt idx="8">
                  <c:v>21.0878637691795</c:v>
                </c:pt>
                <c:pt idx="9">
                  <c:v>0</c:v>
                </c:pt>
                <c:pt idx="10">
                  <c:v>0</c:v>
                </c:pt>
              </c:numCache>
            </c:numRef>
          </c:val>
        </c:ser>
        <c:gapWidth val="45"/>
        <c:overlap val="100"/>
        <c:axId val="53171333"/>
        <c:axId val="85647767"/>
      </c:barChart>
      <c:catAx>
        <c:axId val="531713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47767"/>
        <c:crosses val="autoZero"/>
        <c:auto val="1"/>
        <c:lblAlgn val="ctr"/>
        <c:lblOffset val="100"/>
        <c:noMultiLvlLbl val="0"/>
      </c:catAx>
      <c:valAx>
        <c:axId val="85647767"/>
        <c:scaling>
          <c:orientation val="minMax"/>
          <c:max val="5150"/>
          <c:min val="400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171333"/>
        <c:crosses val="autoZero"/>
        <c:crossBetween val="between"/>
        <c:majorUnit val="200"/>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YTD change vs same days of 2025, by source (PHP M)</a:t>
            </a:r>
          </a:p>
        </c:rich>
      </c:tx>
      <c:overlay val="0"/>
      <c:spPr>
        <a:noFill/>
        <a:ln w="0">
          <a:noFill/>
        </a:ln>
      </c:spPr>
    </c:title>
    <c:autoTitleDeleted val="0"/>
    <c:plotArea>
      <c:barChart>
        <c:barDir val="bar"/>
        <c:grouping val="clustered"/>
        <c:varyColors val="0"/>
        <c:ser>
          <c:idx val="0"/>
          <c:order val="0"/>
          <c:tx>
            <c:strRef>
              <c:f>YTD_SOG!D3</c:f>
              <c:strCache>
                <c:ptCount val="1"/>
                <c:pt idx="0">
                  <c:v>Change</c:v>
                </c:pt>
              </c:strCache>
            </c:strRef>
          </c:tx>
          <c:spPr>
            <a:solidFill>
              <a:srgbClr val="2e8b57"/>
            </a:solidFill>
            <a:ln w="0">
              <a:noFill/>
            </a:ln>
          </c:spPr>
          <c:invertIfNegative val="0"/>
          <c:dPt>
            <c:idx val="0"/>
            <c:invertIfNegative val="0"/>
            <c:spPr>
              <a:solidFill>
                <a:srgbClr val="2e8b57"/>
              </a:solidFill>
              <a:ln w="0">
                <a:noFill/>
              </a:ln>
            </c:spPr>
          </c:dPt>
          <c:dPt>
            <c:idx val="1"/>
            <c:invertIfNegative val="0"/>
            <c:spPr>
              <a:solidFill>
                <a:srgbClr val="2e8b57"/>
              </a:solidFill>
              <a:ln w="0">
                <a:noFill/>
              </a:ln>
            </c:spPr>
          </c:dPt>
          <c:dPt>
            <c:idx val="2"/>
            <c:invertIfNegative val="0"/>
            <c:spPr>
              <a:solidFill>
                <a:srgbClr val="2e8b57"/>
              </a:solidFill>
              <a:ln w="0">
                <a:noFill/>
              </a:ln>
            </c:spPr>
          </c:dPt>
          <c:dPt>
            <c:idx val="3"/>
            <c:invertIfNegative val="0"/>
            <c:spPr>
              <a:solidFill>
                <a:srgbClr val="2e8b57"/>
              </a:solidFill>
              <a:ln w="0">
                <a:noFill/>
              </a:ln>
            </c:spPr>
          </c:dPt>
          <c:dPt>
            <c:idx val="4"/>
            <c:invertIfNegative val="0"/>
            <c:spPr>
              <a:solidFill>
                <a:srgbClr val="2e8b57"/>
              </a:solidFill>
              <a:ln w="0">
                <a:noFill/>
              </a:ln>
            </c:spPr>
          </c:dPt>
          <c:dPt>
            <c:idx val="5"/>
            <c:invertIfNegative val="0"/>
            <c:spPr>
              <a:solidFill>
                <a:srgbClr val="c0392b"/>
              </a:solidFill>
              <a:ln w="0">
                <a:noFill/>
              </a:ln>
            </c:spPr>
          </c:dPt>
          <c:dPt>
            <c:idx val="6"/>
            <c:invertIfNegative val="0"/>
            <c:spPr>
              <a:solidFill>
                <a:srgbClr val="c0392b"/>
              </a:solidFill>
              <a:ln w="0">
                <a:noFill/>
              </a:ln>
            </c:spPr>
          </c:dPt>
          <c:dLbls>
            <c:numFmt formatCode="#,##0.0" sourceLinked="1"/>
            <c:dLbl>
              <c:idx val="0"/>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4"/>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5"/>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6"/>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YTD_SOG!$A$4:$A$10</c:f>
              <c:strCache>
                <c:ptCount val="7"/>
                <c:pt idx="0">
                  <c:v>Cafe Same-Store</c:v>
                </c:pt>
                <c:pt idx="1">
                  <c:v>Kiosk Same-Store (incl. Others)</c:v>
                </c:pt>
                <c:pt idx="2">
                  <c:v>New cafes opened 2025</c:v>
                </c:pt>
                <c:pt idx="3">
                  <c:v>New cafes opened 2026</c:v>
                </c:pt>
                <c:pt idx="4">
                  <c:v>New kiosks (2025 + 2026)</c:v>
                </c:pt>
                <c:pt idx="5">
                  <c:v>Closing cafes</c:v>
                </c:pt>
                <c:pt idx="6">
                  <c:v>Closing kiosks</c:v>
                </c:pt>
              </c:strCache>
            </c:strRef>
          </c:cat>
          <c:val>
            <c:numRef>
              <c:f>YTD_SOG!$D$4:$D$10</c:f>
              <c:numCache>
                <c:formatCode>#,##0.0;\(#,##0.0\);\-</c:formatCode>
                <c:ptCount val="7"/>
                <c:pt idx="0">
                  <c:v>51.1150821178094</c:v>
                </c:pt>
                <c:pt idx="1">
                  <c:v>-13.850340906971</c:v>
                </c:pt>
                <c:pt idx="2">
                  <c:v>133.619520728811</c:v>
                </c:pt>
                <c:pt idx="3">
                  <c:v>28.7493716996874</c:v>
                </c:pt>
                <c:pt idx="4">
                  <c:v>7.96781353900311</c:v>
                </c:pt>
                <c:pt idx="5">
                  <c:v>-41.6793633195175</c:v>
                </c:pt>
                <c:pt idx="6">
                  <c:v>-16.9075202578057</c:v>
                </c:pt>
              </c:numCache>
            </c:numRef>
          </c:val>
        </c:ser>
        <c:gapWidth val="150"/>
        <c:overlap val="0"/>
        <c:axId val="97653678"/>
        <c:axId val="86085942"/>
      </c:barChart>
      <c:catAx>
        <c:axId val="9765367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85942"/>
        <c:crosses val="autoZero"/>
        <c:auto val="1"/>
        <c:lblAlgn val="ctr"/>
        <c:lblOffset val="100"/>
        <c:noMultiLvlLbl val="0"/>
      </c:catAx>
      <c:valAx>
        <c:axId val="8608594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6536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30 items: projected Oct 20-Dec 31 revenue (PHP M) and cumulative share</a:t>
            </a:r>
          </a:p>
        </c:rich>
      </c:tx>
      <c:overlay val="0"/>
      <c:spPr>
        <a:noFill/>
        <a:ln w="0">
          <a:noFill/>
        </a:ln>
      </c:spPr>
    </c:title>
    <c:autoTitleDeleted val="0"/>
    <c:plotArea>
      <c:barChart>
        <c:barDir val="col"/>
        <c:grouping val="clustered"/>
        <c:varyColors val="0"/>
        <c:ser>
          <c:idx val="0"/>
          <c:order val="0"/>
          <c:tx>
            <c:strRef>
              <c:f>Pareto_Items!I5</c:f>
              <c:strCache>
                <c:ptCount val="1"/>
                <c:pt idx="0">
                  <c:v>Projected remainder (PHP M)</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Pareto_Items!$C$6:$C$35</c:f>
              <c:strCache>
                <c:ptCount val="30"/>
                <c:pt idx="0">
                  <c:v>SIRLOIN BEEF TAPA - PLATE</c:v>
                </c:pt>
                <c:pt idx="1">
                  <c:v>MARY GRACE CHEESEROLLS - BOX OF 12</c:v>
                </c:pt>
                <c:pt idx="2">
                  <c:v>RIB-EYE SALPICAO AND EGGS - PLATE</c:v>
                </c:pt>
                <c:pt idx="3">
                  <c:v>DAING NA BANGUS - PLATE</c:v>
                </c:pt>
                <c:pt idx="4">
                  <c:v>MARY GRACE CHEESEROLLS - PC</c:v>
                </c:pt>
                <c:pt idx="5">
                  <c:v>MARY GRACE MUSHROOM CREAM - PLATE</c:v>
                </c:pt>
                <c:pt idx="6">
                  <c:v>TOASTED VIGAN LONGGANISA - PLATE</c:v>
                </c:pt>
                <c:pt idx="7">
                  <c:v>SPICY LEMON SCAMPI - PLATE</c:v>
                </c:pt>
                <c:pt idx="8">
                  <c:v>MARY GRACE CHEESEROLLS - BOX OF 6</c:v>
                </c:pt>
                <c:pt idx="9">
                  <c:v>SEAFOOD PASTA - PLATE</c:v>
                </c:pt>
                <c:pt idx="10">
                  <c:v>MARY GRACE HOT CHOCOLATE CUP</c:v>
                </c:pt>
                <c:pt idx="11">
                  <c:v>PERFECT PLATE - FRESH TOMATO &amp; HERB</c:v>
                </c:pt>
                <c:pt idx="12">
                  <c:v>MARY GRACE ENSAYMADA - BOX OF 6</c:v>
                </c:pt>
                <c:pt idx="13">
                  <c:v>MANGO BENE SLICE</c:v>
                </c:pt>
                <c:pt idx="14">
                  <c:v>AMERICANO HOT CUP</c:v>
                </c:pt>
                <c:pt idx="15">
                  <c:v>CRISPY CASSAVA CHIPS WITH DIP - PLATE</c:v>
                </c:pt>
                <c:pt idx="16">
                  <c:v>SMOKED SALMON AND CREAM - PLATE</c:v>
                </c:pt>
                <c:pt idx="17">
                  <c:v>MARY GRACE ENSAYMADA - BOX OF 12</c:v>
                </c:pt>
                <c:pt idx="18">
                  <c:v>CHOCOLATE TRUFFLE WHOLE</c:v>
                </c:pt>
                <c:pt idx="19">
                  <c:v>MARY GRACE ENSAYMADA - PC</c:v>
                </c:pt>
                <c:pt idx="20">
                  <c:v>MANGO BENE WHOLE</c:v>
                </c:pt>
                <c:pt idx="21">
                  <c:v>SEAFOOD CHOWDER - BOWL</c:v>
                </c:pt>
                <c:pt idx="22">
                  <c:v>SPANISH SARDINES AND OLIVES - PLATE</c:v>
                </c:pt>
                <c:pt idx="23">
                  <c:v>MARY GRACE CEASAR SALAD - PLATE</c:v>
                </c:pt>
                <c:pt idx="24">
                  <c:v>STEAK ANGUS RIBEYE - 200G</c:v>
                </c:pt>
                <c:pt idx="25">
                  <c:v>SALMON WITH CREAMY DILL - PLATE</c:v>
                </c:pt>
                <c:pt idx="26">
                  <c:v>MARY GRACE ENSAYMADA - PC</c:v>
                </c:pt>
                <c:pt idx="27">
                  <c:v>MANGO SHAKE GLASS</c:v>
                </c:pt>
                <c:pt idx="28">
                  <c:v>PRAWN SALAD WITH PAPAYA - PLATE</c:v>
                </c:pt>
                <c:pt idx="29">
                  <c:v>MARY GRACE CHEESEROLLS - PC</c:v>
                </c:pt>
              </c:strCache>
            </c:strRef>
          </c:cat>
          <c:val>
            <c:numRef>
              <c:f>Pareto_Items!$I$6:$I$35</c:f>
              <c:numCache>
                <c:formatCode>#,##0.00;\(#,##0.00\);\-</c:formatCode>
                <c:ptCount val="30"/>
                <c:pt idx="0">
                  <c:v>69.5064938436281</c:v>
                </c:pt>
                <c:pt idx="1">
                  <c:v>42.7172653783155</c:v>
                </c:pt>
                <c:pt idx="2">
                  <c:v>35.1746868345133</c:v>
                </c:pt>
                <c:pt idx="3">
                  <c:v>33.7114708529092</c:v>
                </c:pt>
                <c:pt idx="4">
                  <c:v>27.9185752391224</c:v>
                </c:pt>
                <c:pt idx="5">
                  <c:v>23.3123476203485</c:v>
                </c:pt>
                <c:pt idx="6">
                  <c:v>22.8567252002486</c:v>
                </c:pt>
                <c:pt idx="7">
                  <c:v>22.7795711385518</c:v>
                </c:pt>
                <c:pt idx="8">
                  <c:v>22.2205628491626</c:v>
                </c:pt>
                <c:pt idx="9">
                  <c:v>22.0709784499196</c:v>
                </c:pt>
                <c:pt idx="10">
                  <c:v>21.530115432962</c:v>
                </c:pt>
                <c:pt idx="11">
                  <c:v>20.1085549294709</c:v>
                </c:pt>
                <c:pt idx="12">
                  <c:v>19.2952041605376</c:v>
                </c:pt>
                <c:pt idx="13">
                  <c:v>15.3364680999842</c:v>
                </c:pt>
                <c:pt idx="14">
                  <c:v>15.0281795745652</c:v>
                </c:pt>
                <c:pt idx="15">
                  <c:v>14.0279098043648</c:v>
                </c:pt>
                <c:pt idx="16">
                  <c:v>13.1498573935593</c:v>
                </c:pt>
                <c:pt idx="17">
                  <c:v>12.9612918008633</c:v>
                </c:pt>
                <c:pt idx="18">
                  <c:v>12.6445306274781</c:v>
                </c:pt>
                <c:pt idx="19">
                  <c:v>12.6114132111699</c:v>
                </c:pt>
                <c:pt idx="20">
                  <c:v>12.1944531135184</c:v>
                </c:pt>
                <c:pt idx="21">
                  <c:v>12.1453643447025</c:v>
                </c:pt>
                <c:pt idx="22">
                  <c:v>11.6921115498227</c:v>
                </c:pt>
                <c:pt idx="23">
                  <c:v>11.1275382331568</c:v>
                </c:pt>
                <c:pt idx="24">
                  <c:v>10.5014746595499</c:v>
                </c:pt>
                <c:pt idx="25">
                  <c:v>10.1344486812808</c:v>
                </c:pt>
                <c:pt idx="26">
                  <c:v>10.0895637598828</c:v>
                </c:pt>
                <c:pt idx="27">
                  <c:v>9.73904755675364</c:v>
                </c:pt>
                <c:pt idx="28">
                  <c:v>9.2531105475672</c:v>
                </c:pt>
                <c:pt idx="29">
                  <c:v>9.18166689316789</c:v>
                </c:pt>
              </c:numCache>
            </c:numRef>
          </c:val>
        </c:ser>
        <c:gapWidth val="40"/>
        <c:overlap val="0"/>
        <c:axId val="4596489"/>
        <c:axId val="4648462"/>
      </c:barChart>
      <c:lineChart>
        <c:grouping val="standard"/>
        <c:varyColors val="0"/>
        <c:ser>
          <c:idx val="1"/>
          <c:order val="1"/>
          <c:tx>
            <c:strRef>
              <c:f>Pareto_Items!K5</c:f>
              <c:strCache>
                <c:ptCount val="1"/>
                <c:pt idx="0">
                  <c:v>Cumulative share</c:v>
                </c:pt>
              </c:strCache>
            </c:strRef>
          </c:tx>
          <c:spPr>
            <a:solidFill>
              <a:srgbClr val="c9a227"/>
            </a:solidFill>
            <a:ln w="28080">
              <a:solidFill>
                <a:srgbClr val="c9a22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Pareto_Items!$C$6:$C$35</c:f>
              <c:strCache>
                <c:ptCount val="30"/>
                <c:pt idx="0">
                  <c:v>SIRLOIN BEEF TAPA - PLATE</c:v>
                </c:pt>
                <c:pt idx="1">
                  <c:v>MARY GRACE CHEESEROLLS - BOX OF 12</c:v>
                </c:pt>
                <c:pt idx="2">
                  <c:v>RIB-EYE SALPICAO AND EGGS - PLATE</c:v>
                </c:pt>
                <c:pt idx="3">
                  <c:v>DAING NA BANGUS - PLATE</c:v>
                </c:pt>
                <c:pt idx="4">
                  <c:v>MARY GRACE CHEESEROLLS - PC</c:v>
                </c:pt>
                <c:pt idx="5">
                  <c:v>MARY GRACE MUSHROOM CREAM - PLATE</c:v>
                </c:pt>
                <c:pt idx="6">
                  <c:v>TOASTED VIGAN LONGGANISA - PLATE</c:v>
                </c:pt>
                <c:pt idx="7">
                  <c:v>SPICY LEMON SCAMPI - PLATE</c:v>
                </c:pt>
                <c:pt idx="8">
                  <c:v>MARY GRACE CHEESEROLLS - BOX OF 6</c:v>
                </c:pt>
                <c:pt idx="9">
                  <c:v>SEAFOOD PASTA - PLATE</c:v>
                </c:pt>
                <c:pt idx="10">
                  <c:v>MARY GRACE HOT CHOCOLATE CUP</c:v>
                </c:pt>
                <c:pt idx="11">
                  <c:v>PERFECT PLATE - FRESH TOMATO &amp; HERB</c:v>
                </c:pt>
                <c:pt idx="12">
                  <c:v>MARY GRACE ENSAYMADA - BOX OF 6</c:v>
                </c:pt>
                <c:pt idx="13">
                  <c:v>MANGO BENE SLICE</c:v>
                </c:pt>
                <c:pt idx="14">
                  <c:v>AMERICANO HOT CUP</c:v>
                </c:pt>
                <c:pt idx="15">
                  <c:v>CRISPY CASSAVA CHIPS WITH DIP - PLATE</c:v>
                </c:pt>
                <c:pt idx="16">
                  <c:v>SMOKED SALMON AND CREAM - PLATE</c:v>
                </c:pt>
                <c:pt idx="17">
                  <c:v>MARY GRACE ENSAYMADA - BOX OF 12</c:v>
                </c:pt>
                <c:pt idx="18">
                  <c:v>CHOCOLATE TRUFFLE WHOLE</c:v>
                </c:pt>
                <c:pt idx="19">
                  <c:v>MARY GRACE ENSAYMADA - PC</c:v>
                </c:pt>
                <c:pt idx="20">
                  <c:v>MANGO BENE WHOLE</c:v>
                </c:pt>
                <c:pt idx="21">
                  <c:v>SEAFOOD CHOWDER - BOWL</c:v>
                </c:pt>
                <c:pt idx="22">
                  <c:v>SPANISH SARDINES AND OLIVES - PLATE</c:v>
                </c:pt>
                <c:pt idx="23">
                  <c:v>MARY GRACE CEASAR SALAD - PLATE</c:v>
                </c:pt>
                <c:pt idx="24">
                  <c:v>STEAK ANGUS RIBEYE - 200G</c:v>
                </c:pt>
                <c:pt idx="25">
                  <c:v>SALMON WITH CREAMY DILL - PLATE</c:v>
                </c:pt>
                <c:pt idx="26">
                  <c:v>MARY GRACE ENSAYMADA - PC</c:v>
                </c:pt>
                <c:pt idx="27">
                  <c:v>MANGO SHAKE GLASS</c:v>
                </c:pt>
                <c:pt idx="28">
                  <c:v>PRAWN SALAD WITH PAPAYA - PLATE</c:v>
                </c:pt>
                <c:pt idx="29">
                  <c:v>MARY GRACE CHEESEROLLS - PC</c:v>
                </c:pt>
              </c:strCache>
            </c:strRef>
          </c:cat>
          <c:val>
            <c:numRef>
              <c:f>Pareto_Items!$K$6:$K$35</c:f>
              <c:numCache>
                <c:formatCode>0.0%;\(0.0%\);\-</c:formatCode>
                <c:ptCount val="30"/>
                <c:pt idx="0">
                  <c:v>0.0600820606263346</c:v>
                </c:pt>
                <c:pt idx="1">
                  <c:v>0.0970072626660928</c:v>
                </c:pt>
                <c:pt idx="2">
                  <c:v>0.127412589564873</c:v>
                </c:pt>
                <c:pt idx="3">
                  <c:v>0.15655309894151</c:v>
                </c:pt>
                <c:pt idx="4">
                  <c:v>0.180686175397525</c:v>
                </c:pt>
                <c:pt idx="5">
                  <c:v>0.200837585799826</c:v>
                </c:pt>
                <c:pt idx="6">
                  <c:v>0.220595151938759</c:v>
                </c:pt>
                <c:pt idx="7">
                  <c:v>0.240286025388188</c:v>
                </c:pt>
                <c:pt idx="8">
                  <c:v>0.259493686865952</c:v>
                </c:pt>
                <c:pt idx="9">
                  <c:v>0.278572046195857</c:v>
                </c:pt>
                <c:pt idx="10">
                  <c:v>0.297182878496583</c:v>
                </c:pt>
                <c:pt idx="11">
                  <c:v>0.314564900658404</c:v>
                </c:pt>
                <c:pt idx="12">
                  <c:v>0.331243854840427</c:v>
                </c:pt>
                <c:pt idx="13">
                  <c:v>0.344500840702067</c:v>
                </c:pt>
                <c:pt idx="14">
                  <c:v>0.357491339091092</c:v>
                </c:pt>
                <c:pt idx="15">
                  <c:v>0.369617194974756</c:v>
                </c:pt>
                <c:pt idx="16">
                  <c:v>0.380984054176789</c:v>
                </c:pt>
                <c:pt idx="17">
                  <c:v>0.392187915524292</c:v>
                </c:pt>
                <c:pt idx="18">
                  <c:v>0.403117965563369</c:v>
                </c:pt>
                <c:pt idx="19">
                  <c:v>0.414019388599351</c:v>
                </c:pt>
                <c:pt idx="20">
                  <c:v>0.42456038744357</c:v>
                </c:pt>
                <c:pt idx="21">
                  <c:v>0.435058953498837</c:v>
                </c:pt>
                <c:pt idx="22">
                  <c:v>0.445165723616846</c:v>
                </c:pt>
                <c:pt idx="23">
                  <c:v>0.454784471301781</c:v>
                </c:pt>
                <c:pt idx="24">
                  <c:v>0.463862043802855</c:v>
                </c:pt>
                <c:pt idx="25">
                  <c:v>0.472622355630022</c:v>
                </c:pt>
                <c:pt idx="26">
                  <c:v>0.481343868513096</c:v>
                </c:pt>
                <c:pt idx="27">
                  <c:v>0.489762391925657</c:v>
                </c:pt>
                <c:pt idx="28">
                  <c:v>0.497760866861709</c:v>
                </c:pt>
                <c:pt idx="29">
                  <c:v>0.505697585237509</c:v>
                </c:pt>
              </c:numCache>
            </c:numRef>
          </c:val>
          <c:smooth val="1"/>
        </c:ser>
        <c:hiLowLines>
          <c:spPr>
            <a:ln w="0">
              <a:noFill/>
            </a:ln>
          </c:spPr>
        </c:hiLowLines>
        <c:marker val="0"/>
        <c:axId val="68958823"/>
        <c:axId val="76724631"/>
      </c:lineChart>
      <c:catAx>
        <c:axId val="45964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48462"/>
        <c:crosses val="autoZero"/>
        <c:auto val="1"/>
        <c:lblAlgn val="ctr"/>
        <c:lblOffset val="100"/>
        <c:noMultiLvlLbl val="0"/>
      </c:catAx>
      <c:valAx>
        <c:axId val="46484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6489"/>
        <c:crosses val="autoZero"/>
        <c:crossBetween val="between"/>
      </c:valAx>
      <c:catAx>
        <c:axId val="68958823"/>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724631"/>
        <c:crosses val="autoZero"/>
        <c:auto val="1"/>
        <c:lblAlgn val="ctr"/>
        <c:lblOffset val="100"/>
        <c:noMultiLvlLbl val="0"/>
      </c:catAx>
      <c:valAx>
        <c:axId val="76724631"/>
        <c:scaling>
          <c:orientation val="minMax"/>
          <c:max val="1"/>
          <c:min val="0"/>
        </c:scaling>
        <c:delete val="0"/>
        <c:axPos val="r"/>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958823"/>
        <c:crosses val="max"/>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11</xdr:col>
      <xdr:colOff>83880</xdr:colOff>
      <xdr:row>42</xdr:row>
      <xdr:rowOff>149760</xdr:rowOff>
    </xdr:to>
    <xdr:graphicFrame>
      <xdr:nvGraphicFramePr>
        <xdr:cNvPr id="0" name="Chart 1"/>
        <xdr:cNvGraphicFramePr/>
      </xdr:nvGraphicFramePr>
      <xdr:xfrm>
        <a:off x="0" y="4191120"/>
        <a:ext cx="107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18</xdr:col>
      <xdr:colOff>473400</xdr:colOff>
      <xdr:row>17</xdr:row>
      <xdr:rowOff>89640</xdr:rowOff>
    </xdr:to>
    <xdr:graphicFrame>
      <xdr:nvGraphicFramePr>
        <xdr:cNvPr id="1" name="Chart 1"/>
        <xdr:cNvGraphicFramePr/>
      </xdr:nvGraphicFramePr>
      <xdr:xfrm>
        <a:off x="9774720" y="380880"/>
        <a:ext cx="71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4</xdr:row>
      <xdr:rowOff>0</xdr:rowOff>
    </xdr:from>
    <xdr:to>
      <xdr:col>37</xdr:col>
      <xdr:colOff>512280</xdr:colOff>
      <xdr:row>22</xdr:row>
      <xdr:rowOff>35280</xdr:rowOff>
    </xdr:to>
    <xdr:graphicFrame>
      <xdr:nvGraphicFramePr>
        <xdr:cNvPr id="2" name="Chart 1"/>
        <xdr:cNvGraphicFramePr/>
      </xdr:nvGraphicFramePr>
      <xdr:xfrm>
        <a:off x="20347200" y="762120"/>
        <a:ext cx="115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8"/>
    <col collapsed="false" customWidth="true" hidden="false" outlineLevel="0" max="8" min="3" style="0" width="12"/>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f aca="false">Model!B31</f>
        <v>4830.53025385</v>
      </c>
    </row>
    <row r="6" customFormat="false" ht="15" hidden="false" customHeight="false" outlineLevel="0" collapsed="false">
      <c r="A6" s="4" t="s">
        <v>5</v>
      </c>
      <c r="B6" s="5" t="n">
        <f aca="false">Model!B25</f>
        <v>3859.99738824</v>
      </c>
    </row>
    <row r="7" customFormat="false" ht="15" hidden="false" customHeight="false" outlineLevel="0" collapsed="false">
      <c r="A7" s="4" t="s">
        <v>6</v>
      </c>
      <c r="B7" s="6" t="n">
        <f aca="false">Model!B30</f>
        <v>0.0401550130093942</v>
      </c>
    </row>
    <row r="8" customFormat="false" ht="15" hidden="false" customHeight="false" outlineLevel="0" collapsed="false">
      <c r="A8" s="4" t="s">
        <v>7</v>
      </c>
      <c r="B8" s="5" t="n">
        <f aca="false">Model!B26</f>
        <v>1140.00261176</v>
      </c>
    </row>
    <row r="9" customFormat="false" ht="15" hidden="false" customHeight="false" outlineLevel="0" collapsed="false">
      <c r="A9" s="4" t="s">
        <v>8</v>
      </c>
      <c r="B9" s="5" t="n">
        <f aca="false">Model!B27</f>
        <v>1119.54742921102</v>
      </c>
    </row>
    <row r="10" customFormat="false" ht="15" hidden="false" customHeight="false" outlineLevel="0" collapsed="false">
      <c r="A10" s="4" t="s">
        <v>9</v>
      </c>
      <c r="B10" s="6" t="n">
        <f aca="false">Model!B28</f>
        <v>0.0182709387876485</v>
      </c>
    </row>
    <row r="11" customFormat="false" ht="15" hidden="false" customHeight="false" outlineLevel="0" collapsed="false">
      <c r="A11" s="4" t="s">
        <v>10</v>
      </c>
      <c r="B11" s="6" t="n">
        <f aca="false">Model!B29</f>
        <v>0.0333272521375616</v>
      </c>
    </row>
    <row r="12" customFormat="false" ht="15" hidden="false" customHeight="false" outlineLevel="0" collapsed="false">
      <c r="A12" s="7" t="s">
        <v>11</v>
      </c>
      <c r="B12" s="5" t="n">
        <f aca="false">Model!B23</f>
        <v>5016.85625690429</v>
      </c>
    </row>
    <row r="13" customFormat="false" ht="15" hidden="false" customHeight="false" outlineLevel="0" collapsed="false">
      <c r="A13" s="7" t="s">
        <v>12</v>
      </c>
      <c r="B13" s="5" t="n">
        <f aca="false">Model!B24</f>
        <v>16.8562569042915</v>
      </c>
    </row>
    <row r="14" customFormat="false" ht="15" hidden="false" customHeight="false" outlineLevel="0" collapsed="false">
      <c r="A14" s="4" t="s">
        <v>13</v>
      </c>
      <c r="B14" s="6" t="n">
        <f aca="false">YTD_SOG!C16</f>
        <v>1.1430876409072</v>
      </c>
    </row>
    <row r="15" customFormat="false" ht="15" hidden="false" customHeight="false" outlineLevel="0" collapsed="false">
      <c r="A15" s="4" t="s">
        <v>14</v>
      </c>
      <c r="B15" s="6" t="n">
        <f aca="false">YTD_SOG!B19</f>
        <v>0.0166624473567347</v>
      </c>
    </row>
    <row r="16" customFormat="false" ht="15" hidden="false" customHeight="false" outlineLevel="0" collapsed="false">
      <c r="A16" s="4" t="s">
        <v>15</v>
      </c>
      <c r="B16" s="6" t="n">
        <f aca="false">YTD_SOG!B20</f>
        <v>-0.0375625950417371</v>
      </c>
    </row>
    <row r="19" customFormat="false" ht="15" hidden="false" customHeight="true" outlineLevel="0" collapsed="false">
      <c r="A19" s="8" t="s">
        <v>16</v>
      </c>
      <c r="B19" s="8"/>
      <c r="C19" s="8"/>
      <c r="D19" s="8"/>
      <c r="E19" s="8"/>
      <c r="F19" s="8"/>
      <c r="G19" s="8"/>
      <c r="H19" s="8"/>
    </row>
    <row r="20" customFormat="false" ht="43.5" hidden="false" customHeight="true" outlineLevel="0" collapsed="false">
      <c r="A20" s="9" t="s">
        <v>17</v>
      </c>
      <c r="B20" s="9"/>
      <c r="C20" s="9"/>
      <c r="D20" s="9"/>
      <c r="E20" s="9"/>
      <c r="F20" s="9"/>
      <c r="G20" s="9"/>
      <c r="H20" s="9"/>
    </row>
    <row r="21" customFormat="false" ht="43.5" hidden="false" customHeight="true" outlineLevel="0" collapsed="false">
      <c r="A21" s="9" t="s">
        <v>18</v>
      </c>
      <c r="B21" s="9"/>
      <c r="C21" s="9"/>
      <c r="D21" s="9"/>
      <c r="E21" s="9"/>
      <c r="F21" s="9"/>
      <c r="G21" s="9"/>
      <c r="H21" s="9"/>
    </row>
    <row r="22" customFormat="false" ht="43.5" hidden="false" customHeight="true" outlineLevel="0" collapsed="false">
      <c r="A22" s="9" t="s">
        <v>19</v>
      </c>
      <c r="B22" s="9"/>
      <c r="C22" s="9"/>
      <c r="D22" s="9"/>
      <c r="E22" s="9"/>
      <c r="F22" s="9"/>
      <c r="G22" s="9"/>
      <c r="H22" s="9"/>
    </row>
    <row r="23" customFormat="false" ht="43.5" hidden="false" customHeight="true" outlineLevel="0" collapsed="false">
      <c r="A23" s="9" t="s">
        <v>20</v>
      </c>
      <c r="B23" s="9"/>
      <c r="C23" s="9"/>
      <c r="D23" s="9"/>
      <c r="E23" s="9"/>
      <c r="F23" s="9"/>
      <c r="G23" s="9"/>
      <c r="H23" s="9"/>
    </row>
    <row r="24" customFormat="false" ht="43.5" hidden="false" customHeight="true" outlineLevel="0" collapsed="false">
      <c r="A24" s="9" t="s">
        <v>21</v>
      </c>
      <c r="B24" s="9"/>
      <c r="C24" s="9"/>
      <c r="D24" s="9"/>
      <c r="E24" s="9"/>
      <c r="F24" s="9"/>
      <c r="G24" s="9"/>
      <c r="H24" s="9"/>
    </row>
    <row r="25" customFormat="false" ht="43.5" hidden="false" customHeight="true" outlineLevel="0" collapsed="false">
      <c r="A25" s="9" t="s">
        <v>22</v>
      </c>
      <c r="B25" s="9"/>
      <c r="C25" s="9"/>
      <c r="D25" s="9"/>
      <c r="E25" s="9"/>
      <c r="F25" s="9"/>
      <c r="G25" s="9"/>
      <c r="H25" s="9"/>
    </row>
    <row r="26" customFormat="false" ht="43.5" hidden="false" customHeight="true" outlineLevel="0" collapsed="false">
      <c r="A26" s="9" t="s">
        <v>23</v>
      </c>
      <c r="B26" s="9"/>
      <c r="C26" s="9"/>
      <c r="D26" s="9"/>
      <c r="E26" s="9"/>
      <c r="F26" s="9"/>
      <c r="G26" s="9"/>
      <c r="H26" s="9"/>
    </row>
  </sheetData>
  <mergeCells count="8">
    <mergeCell ref="A19:H19"/>
    <mergeCell ref="A20:H20"/>
    <mergeCell ref="A21:H21"/>
    <mergeCell ref="A22:H22"/>
    <mergeCell ref="A23:H23"/>
    <mergeCell ref="A24:H24"/>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
    <col collapsed="false" customWidth="true" hidden="false" outlineLevel="0" max="3" min="3" style="0" width="14"/>
    <col collapsed="false" customWidth="true" hidden="false" outlineLevel="0" max="4" min="4" style="0" width="13"/>
    <col collapsed="false" customWidth="true" hidden="false" outlineLevel="0" max="5" min="5" style="0" width="14"/>
    <col collapsed="false" customWidth="true" hidden="false" outlineLevel="0" max="6" min="6" style="0" width="16"/>
    <col collapsed="false" customWidth="true" hidden="false" outlineLevel="0" max="8" min="7" style="0" width="11"/>
  </cols>
  <sheetData>
    <row r="1" customFormat="false" ht="15" hidden="false" customHeight="false" outlineLevel="0" collapsed="false">
      <c r="A1" s="1" t="s">
        <v>24</v>
      </c>
    </row>
    <row r="2" customFormat="false" ht="15" hidden="false" customHeight="false" outlineLevel="0" collapsed="false">
      <c r="A2" s="2" t="s">
        <v>25</v>
      </c>
    </row>
    <row r="4" customFormat="false" ht="15" hidden="false" customHeight="false" outlineLevel="0" collapsed="false">
      <c r="A4" s="3" t="s">
        <v>26</v>
      </c>
      <c r="B4" s="3" t="s">
        <v>27</v>
      </c>
      <c r="C4" s="3" t="s">
        <v>28</v>
      </c>
      <c r="D4" s="3" t="s">
        <v>29</v>
      </c>
      <c r="E4" s="3" t="s">
        <v>30</v>
      </c>
      <c r="F4" s="3" t="s">
        <v>31</v>
      </c>
      <c r="G4" s="3" t="s">
        <v>32</v>
      </c>
      <c r="H4" s="3" t="s">
        <v>33</v>
      </c>
    </row>
    <row r="5" customFormat="false" ht="15" hidden="false" customHeight="false" outlineLevel="0" collapsed="false">
      <c r="A5" s="4" t="s">
        <v>34</v>
      </c>
      <c r="B5" s="4" t="s">
        <v>35</v>
      </c>
      <c r="C5" s="5" t="n">
        <f aca="false">SUM(Model!C11:C14)</f>
        <v>4302.23019169386</v>
      </c>
      <c r="D5" s="10" t="n">
        <f aca="false">IF(B5="total",C5,0+C5)</f>
        <v>4302.23019169386</v>
      </c>
      <c r="E5" s="10" t="n">
        <f aca="false">IF(B5="total",0,MIN(0,D5))</f>
        <v>0</v>
      </c>
      <c r="F5" s="10" t="n">
        <f aca="false">IF(OR(B5="total",B5="float"),C5,0)</f>
        <v>4302.23019169386</v>
      </c>
      <c r="G5" s="10" t="n">
        <f aca="false">IF(B5="delta",MAX(C5,0),0)</f>
        <v>0</v>
      </c>
      <c r="H5" s="10" t="n">
        <f aca="false">IF(B5="delta",MAX(-C5,0),0)</f>
        <v>0</v>
      </c>
    </row>
    <row r="6" customFormat="false" ht="15" hidden="false" customHeight="false" outlineLevel="0" collapsed="false">
      <c r="A6" s="4" t="s">
        <v>36</v>
      </c>
      <c r="B6" s="4" t="s">
        <v>37</v>
      </c>
      <c r="C6" s="5" t="n">
        <f aca="false">SUM(Model!C15:C18)</f>
        <v>528.300062156135</v>
      </c>
      <c r="D6" s="10" t="n">
        <f aca="false">IF(B6="total",C6,D5+C6)</f>
        <v>4830.53025385</v>
      </c>
      <c r="E6" s="10" t="n">
        <f aca="false">IF(B6="total",0,MIN(D5,D6))</f>
        <v>4302.23019169386</v>
      </c>
      <c r="F6" s="10" t="n">
        <f aca="false">IF(OR(B6="total",B6="float"),C6,0)</f>
        <v>528.300062156135</v>
      </c>
      <c r="G6" s="10" t="n">
        <f aca="false">IF(B6="delta",MAX(C6,0),0)</f>
        <v>0</v>
      </c>
      <c r="H6" s="10" t="n">
        <f aca="false">IF(B6="delta",MAX(-C6,0),0)</f>
        <v>0</v>
      </c>
    </row>
    <row r="7" customFormat="false" ht="15" hidden="false" customHeight="false" outlineLevel="0" collapsed="false">
      <c r="A7" s="4" t="s">
        <v>38</v>
      </c>
      <c r="B7" s="4" t="s">
        <v>39</v>
      </c>
      <c r="C7" s="5" t="n">
        <f aca="false">Model!L11</f>
        <v>69.9658968668723</v>
      </c>
      <c r="D7" s="10" t="n">
        <f aca="false">IF(B7="total",C7,D6+C7)</f>
        <v>4900.49615071687</v>
      </c>
      <c r="E7" s="10" t="n">
        <f aca="false">IF(B7="total",0,MIN(D6,D7))</f>
        <v>4830.53025385</v>
      </c>
      <c r="F7" s="10" t="n">
        <f aca="false">IF(OR(B7="total",B7="float"),C7,0)</f>
        <v>0</v>
      </c>
      <c r="G7" s="10" t="n">
        <f aca="false">IF(B7="delta",MAX(C7,0),0)</f>
        <v>69.9658968668723</v>
      </c>
      <c r="H7" s="10" t="n">
        <f aca="false">IF(B7="delta",MAX(-C7,0),0)</f>
        <v>0</v>
      </c>
    </row>
    <row r="8" customFormat="false" ht="15" hidden="false" customHeight="false" outlineLevel="0" collapsed="false">
      <c r="A8" s="4" t="s">
        <v>40</v>
      </c>
      <c r="B8" s="4" t="s">
        <v>39</v>
      </c>
      <c r="C8" s="5" t="n">
        <f aca="false">Model!L12</f>
        <v>146.390569863388</v>
      </c>
      <c r="D8" s="10" t="n">
        <f aca="false">IF(B8="total",C8,D7+C8)</f>
        <v>5046.88672058026</v>
      </c>
      <c r="E8" s="10" t="n">
        <f aca="false">IF(B8="total",0,MIN(D7,D8))</f>
        <v>4900.49615071687</v>
      </c>
      <c r="F8" s="10" t="n">
        <f aca="false">IF(OR(B8="total",B8="float"),C8,0)</f>
        <v>0</v>
      </c>
      <c r="G8" s="10" t="n">
        <f aca="false">IF(B8="delta",MAX(C8,0),0)</f>
        <v>146.390569863388</v>
      </c>
      <c r="H8" s="10" t="n">
        <f aca="false">IF(B8="delta",MAX(-C8,0),0)</f>
        <v>0</v>
      </c>
    </row>
    <row r="9" customFormat="false" ht="15" hidden="false" customHeight="false" outlineLevel="0" collapsed="false">
      <c r="A9" s="4" t="s">
        <v>41</v>
      </c>
      <c r="B9" s="4" t="s">
        <v>39</v>
      </c>
      <c r="C9" s="5" t="n">
        <f aca="false">Model!L13</f>
        <v>41.0648345406713</v>
      </c>
      <c r="D9" s="10" t="n">
        <f aca="false">IF(B9="total",C9,D8+C9)</f>
        <v>5087.95155512093</v>
      </c>
      <c r="E9" s="10" t="n">
        <f aca="false">IF(B9="total",0,MIN(D8,D9))</f>
        <v>5046.88672058026</v>
      </c>
      <c r="F9" s="10" t="n">
        <f aca="false">IF(OR(B9="total",B9="float"),C9,0)</f>
        <v>0</v>
      </c>
      <c r="G9" s="10" t="n">
        <f aca="false">IF(B9="delta",MAX(C9,0),0)</f>
        <v>41.0648345406713</v>
      </c>
      <c r="H9" s="10" t="n">
        <f aca="false">IF(B9="delta",MAX(-C9,0),0)</f>
        <v>0</v>
      </c>
    </row>
    <row r="10" customFormat="false" ht="15" hidden="false" customHeight="false" outlineLevel="0" collapsed="false">
      <c r="A10" s="4" t="s">
        <v>42</v>
      </c>
      <c r="B10" s="4" t="s">
        <v>39</v>
      </c>
      <c r="C10" s="5" t="n">
        <f aca="false">Model!L14</f>
        <v>-47.1653694245224</v>
      </c>
      <c r="D10" s="10" t="n">
        <f aca="false">IF(B10="total",C10,D9+C10)</f>
        <v>5040.78618569641</v>
      </c>
      <c r="E10" s="10" t="n">
        <f aca="false">IF(B10="total",0,MIN(D9,D10))</f>
        <v>5040.78618569641</v>
      </c>
      <c r="F10" s="10" t="n">
        <f aca="false">IF(OR(B10="total",B10="float"),C10,0)</f>
        <v>0</v>
      </c>
      <c r="G10" s="10" t="n">
        <f aca="false">IF(B10="delta",MAX(C10,0),0)</f>
        <v>0</v>
      </c>
      <c r="H10" s="10" t="n">
        <f aca="false">IF(B10="delta",MAX(-C10,0),0)</f>
        <v>47.1653694245224</v>
      </c>
    </row>
    <row r="11" customFormat="false" ht="15" hidden="false" customHeight="false" outlineLevel="0" collapsed="false">
      <c r="A11" s="4" t="s">
        <v>43</v>
      </c>
      <c r="B11" s="4" t="s">
        <v>39</v>
      </c>
      <c r="C11" s="5" t="n">
        <f aca="false">Model!L15</f>
        <v>-13.9399715080582</v>
      </c>
      <c r="D11" s="10" t="n">
        <f aca="false">IF(B11="total",C11,D10+C11)</f>
        <v>5026.84621418835</v>
      </c>
      <c r="E11" s="10" t="n">
        <f aca="false">IF(B11="total",0,MIN(D10,D11))</f>
        <v>5026.84621418835</v>
      </c>
      <c r="F11" s="10" t="n">
        <f aca="false">IF(OR(B11="total",B11="float"),C11,0)</f>
        <v>0</v>
      </c>
      <c r="G11" s="10" t="n">
        <f aca="false">IF(B11="delta",MAX(C11,0),0)</f>
        <v>0</v>
      </c>
      <c r="H11" s="10" t="n">
        <f aca="false">IF(B11="delta",MAX(-C11,0),0)</f>
        <v>13.9399715080582</v>
      </c>
    </row>
    <row r="12" customFormat="false" ht="15" hidden="false" customHeight="false" outlineLevel="0" collapsed="false">
      <c r="A12" s="4" t="s">
        <v>44</v>
      </c>
      <c r="B12" s="4" t="s">
        <v>39</v>
      </c>
      <c r="C12" s="5" t="n">
        <f aca="false">Model!L16+Model!L17</f>
        <v>11.09790648512</v>
      </c>
      <c r="D12" s="10" t="n">
        <f aca="false">IF(B12="total",C12,D11+C12)</f>
        <v>5037.94412067347</v>
      </c>
      <c r="E12" s="10" t="n">
        <f aca="false">IF(B12="total",0,MIN(D11,D12))</f>
        <v>5026.84621418835</v>
      </c>
      <c r="F12" s="10" t="n">
        <f aca="false">IF(OR(B12="total",B12="float"),C12,0)</f>
        <v>0</v>
      </c>
      <c r="G12" s="10" t="n">
        <f aca="false">IF(B12="delta",MAX(C12,0),0)</f>
        <v>11.09790648512</v>
      </c>
      <c r="H12" s="10" t="n">
        <f aca="false">IF(B12="delta",MAX(-C12,0),0)</f>
        <v>0</v>
      </c>
    </row>
    <row r="13" customFormat="false" ht="15" hidden="false" customHeight="false" outlineLevel="0" collapsed="false">
      <c r="A13" s="4" t="s">
        <v>45</v>
      </c>
      <c r="B13" s="4" t="s">
        <v>39</v>
      </c>
      <c r="C13" s="5" t="n">
        <f aca="false">Model!L18</f>
        <v>-21.0878637691795</v>
      </c>
      <c r="D13" s="10" t="n">
        <f aca="false">IF(B13="total",C13,D12+C13)</f>
        <v>5016.85625690429</v>
      </c>
      <c r="E13" s="10" t="n">
        <f aca="false">IF(B13="total",0,MIN(D12,D13))</f>
        <v>5016.85625690429</v>
      </c>
      <c r="F13" s="10" t="n">
        <f aca="false">IF(OR(B13="total",B13="float"),C13,0)</f>
        <v>0</v>
      </c>
      <c r="G13" s="10" t="n">
        <f aca="false">IF(B13="delta",MAX(C13,0),0)</f>
        <v>0</v>
      </c>
      <c r="H13" s="10" t="n">
        <f aca="false">IF(B13="delta",MAX(-C13,0),0)</f>
        <v>21.0878637691795</v>
      </c>
    </row>
    <row r="14" customFormat="false" ht="15" hidden="false" customHeight="false" outlineLevel="0" collapsed="false">
      <c r="A14" s="4" t="s">
        <v>46</v>
      </c>
      <c r="B14" s="4" t="s">
        <v>35</v>
      </c>
      <c r="C14" s="10" t="n">
        <f aca="false">D13</f>
        <v>5016.85625690429</v>
      </c>
      <c r="D14" s="10" t="n">
        <f aca="false">IF(B14="total",C14,D13+C14)</f>
        <v>5016.85625690429</v>
      </c>
      <c r="E14" s="10" t="n">
        <f aca="false">IF(B14="total",0,MIN(D13,D14))</f>
        <v>0</v>
      </c>
      <c r="F14" s="10" t="n">
        <f aca="false">IF(OR(B14="total",B14="float"),C14,0)</f>
        <v>5016.85625690429</v>
      </c>
      <c r="G14" s="10" t="n">
        <f aca="false">IF(B14="delta",MAX(C14,0),0)</f>
        <v>0</v>
      </c>
      <c r="H14" s="10" t="n">
        <f aca="false">IF(B14="delta",MAX(-C14,0),0)</f>
        <v>0</v>
      </c>
    </row>
    <row r="15" customFormat="false" ht="15" hidden="false" customHeight="false" outlineLevel="0" collapsed="false">
      <c r="A15" s="4" t="s">
        <v>47</v>
      </c>
      <c r="B15" s="4" t="s">
        <v>35</v>
      </c>
      <c r="C15" s="5" t="n">
        <f aca="false">Model!B3</f>
        <v>5000</v>
      </c>
      <c r="D15" s="10" t="n">
        <f aca="false">IF(B15="total",C15,D14+C15)</f>
        <v>5000</v>
      </c>
      <c r="E15" s="10" t="n">
        <f aca="false">IF(B15="total",0,MIN(D14,D15))</f>
        <v>0</v>
      </c>
      <c r="F15" s="10" t="n">
        <f aca="false">IF(OR(B15="total",B15="float"),C15,0)</f>
        <v>5000</v>
      </c>
      <c r="G15" s="10" t="n">
        <f aca="false">IF(B15="delta",MAX(C15,0),0)</f>
        <v>0</v>
      </c>
      <c r="H15" s="10" t="n">
        <f aca="false">IF(B15="delta",MAX(-C15,0),0)</f>
        <v>0</v>
      </c>
    </row>
    <row r="17" customFormat="false" ht="15" hidden="false" customHeight="false" outlineLevel="0" collapsed="false">
      <c r="A17" s="7" t="s">
        <v>48</v>
      </c>
      <c r="C17" s="11" t="n">
        <f aca="false">C14-C15</f>
        <v>16.8562569042915</v>
      </c>
    </row>
    <row r="18" customFormat="false" ht="15" hidden="false" customHeight="false" outlineLevel="0" collapsed="false">
      <c r="A18" s="7" t="s">
        <v>49</v>
      </c>
      <c r="C18" s="11" t="n">
        <f aca="false">C5+C6</f>
        <v>4830.53025385</v>
      </c>
    </row>
    <row r="19" customFormat="false" ht="15" hidden="false" customHeight="false" outlineLevel="0" collapsed="false">
      <c r="A19" s="7" t="s">
        <v>50</v>
      </c>
      <c r="C19" s="11" t="n">
        <f aca="false">C14-C18</f>
        <v>186.326003054292</v>
      </c>
    </row>
    <row r="20" customFormat="false" ht="15" hidden="false" customHeight="false" outlineLevel="0" collapsed="false">
      <c r="A20" s="4" t="s">
        <v>51</v>
      </c>
      <c r="C20" s="10" t="n">
        <f aca="false">SUM(C7:C13)-C19</f>
        <v>-7.38964445190504E-013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24" min="3" style="0" width="10.51"/>
  </cols>
  <sheetData>
    <row r="1" customFormat="false" ht="15" hidden="false" customHeight="false" outlineLevel="0" collapsed="false">
      <c r="A1" s="1" t="s">
        <v>52</v>
      </c>
    </row>
    <row r="2" customFormat="false" ht="15" hidden="false" customHeight="false" outlineLevel="0" collapsed="false">
      <c r="A2" s="2" t="s">
        <v>53</v>
      </c>
    </row>
    <row r="4" customFormat="false" ht="15" hidden="false" customHeight="false" outlineLevel="0" collapsed="false">
      <c r="A4" s="3" t="s">
        <v>54</v>
      </c>
      <c r="B4" s="3" t="s">
        <v>55</v>
      </c>
      <c r="C4" s="3" t="s">
        <v>56</v>
      </c>
      <c r="D4" s="3" t="s">
        <v>57</v>
      </c>
      <c r="E4" s="3" t="s">
        <v>58</v>
      </c>
      <c r="F4" s="3" t="s">
        <v>59</v>
      </c>
      <c r="G4" s="3" t="s">
        <v>60</v>
      </c>
      <c r="H4" s="3" t="s">
        <v>61</v>
      </c>
      <c r="I4" s="3" t="s">
        <v>62</v>
      </c>
      <c r="J4" s="3" t="s">
        <v>63</v>
      </c>
      <c r="K4" s="3" t="s">
        <v>64</v>
      </c>
      <c r="L4" s="3" t="s">
        <v>65</v>
      </c>
      <c r="M4" s="3" t="s">
        <v>66</v>
      </c>
      <c r="N4" s="3" t="s">
        <v>67</v>
      </c>
      <c r="O4" s="3" t="s">
        <v>68</v>
      </c>
      <c r="P4" s="3" t="s">
        <v>69</v>
      </c>
      <c r="Q4" s="3" t="s">
        <v>70</v>
      </c>
      <c r="R4" s="3" t="s">
        <v>71</v>
      </c>
      <c r="S4" s="3" t="s">
        <v>72</v>
      </c>
      <c r="T4" s="3" t="s">
        <v>73</v>
      </c>
      <c r="U4" s="3" t="s">
        <v>74</v>
      </c>
      <c r="V4" s="3" t="s">
        <v>75</v>
      </c>
      <c r="W4" s="3" t="s">
        <v>76</v>
      </c>
      <c r="X4" s="3" t="s">
        <v>77</v>
      </c>
    </row>
    <row r="5" customFormat="false" ht="15" hidden="false" customHeight="false" outlineLevel="0" collapsed="false">
      <c r="A5" s="4" t="s">
        <v>78</v>
      </c>
      <c r="B5" s="4" t="s">
        <v>79</v>
      </c>
      <c r="C5" s="12" t="n">
        <v>335.636378369548</v>
      </c>
      <c r="D5" s="12" t="n">
        <v>314.488534660528</v>
      </c>
      <c r="E5" s="12" t="n">
        <v>324.76901155768</v>
      </c>
      <c r="F5" s="12" t="n">
        <v>288.72364742672</v>
      </c>
      <c r="G5" s="12" t="n">
        <v>341.291366381447</v>
      </c>
      <c r="H5" s="12" t="n">
        <v>324.416989474908</v>
      </c>
      <c r="I5" s="12" t="n">
        <v>306.660782986774</v>
      </c>
      <c r="J5" s="12" t="n">
        <v>337.443522324791</v>
      </c>
      <c r="K5" s="12" t="n">
        <v>295.222761990047</v>
      </c>
      <c r="L5" s="12" t="n">
        <v>324.73077880259</v>
      </c>
      <c r="M5" s="12" t="n">
        <v>323.888604650007</v>
      </c>
      <c r="N5" s="12" t="n">
        <v>448.193516348397</v>
      </c>
      <c r="O5" s="12" t="n">
        <v>333.888587562976</v>
      </c>
      <c r="P5" s="12" t="n">
        <v>320.664474113215</v>
      </c>
      <c r="Q5" s="12" t="n">
        <v>325.310366089851</v>
      </c>
      <c r="R5" s="12" t="n">
        <v>292.811065836441</v>
      </c>
      <c r="S5" s="12" t="n">
        <v>359.868146440366</v>
      </c>
      <c r="T5" s="12" t="n">
        <v>324.903548945613</v>
      </c>
      <c r="U5" s="12" t="n">
        <v>322.309232196166</v>
      </c>
      <c r="V5" s="12" t="n">
        <v>321.615112407645</v>
      </c>
      <c r="W5" s="12" t="n">
        <v>315.125811407915</v>
      </c>
      <c r="X5" s="12" t="n">
        <v>202.300274136815</v>
      </c>
    </row>
    <row r="6" customFormat="false" ht="15" hidden="false" customHeight="false" outlineLevel="0" collapsed="false">
      <c r="A6" s="4" t="s">
        <v>78</v>
      </c>
      <c r="B6" s="4" t="s">
        <v>80</v>
      </c>
      <c r="C6" s="12" t="n">
        <v>0</v>
      </c>
      <c r="D6" s="12" t="n">
        <v>0</v>
      </c>
      <c r="E6" s="12" t="n">
        <v>0</v>
      </c>
      <c r="F6" s="12" t="n">
        <v>2.7325774474362</v>
      </c>
      <c r="G6" s="12" t="n">
        <v>3.59825247707539</v>
      </c>
      <c r="H6" s="12" t="n">
        <v>3.16484816763536</v>
      </c>
      <c r="I6" s="12" t="n">
        <v>2.91879571525514</v>
      </c>
      <c r="J6" s="12" t="n">
        <v>10.4138755788114</v>
      </c>
      <c r="K6" s="12" t="n">
        <v>9.61640298340234</v>
      </c>
      <c r="L6" s="12" t="n">
        <v>10.410990827128</v>
      </c>
      <c r="M6" s="12" t="n">
        <v>11.4192234962759</v>
      </c>
      <c r="N6" s="12" t="n">
        <v>21.7164682057022</v>
      </c>
      <c r="O6" s="12" t="n">
        <v>20.2404753116762</v>
      </c>
      <c r="P6" s="12" t="n">
        <v>17.8442020026474</v>
      </c>
      <c r="Q6" s="12" t="n">
        <v>17.4397319102973</v>
      </c>
      <c r="R6" s="12" t="n">
        <v>16.5260360699687</v>
      </c>
      <c r="S6" s="12" t="n">
        <v>20.4550325940739</v>
      </c>
      <c r="T6" s="12" t="n">
        <v>17.221276074948</v>
      </c>
      <c r="U6" s="12" t="n">
        <v>17.1225035722865</v>
      </c>
      <c r="V6" s="12" t="n">
        <v>18.3552705657319</v>
      </c>
      <c r="W6" s="12" t="n">
        <v>16.7697273598706</v>
      </c>
      <c r="X6" s="12" t="n">
        <v>10.470947498715</v>
      </c>
    </row>
    <row r="7" customFormat="false" ht="15" hidden="false" customHeight="false" outlineLevel="0" collapsed="false">
      <c r="A7" s="4" t="s">
        <v>78</v>
      </c>
      <c r="B7" s="4" t="s">
        <v>81</v>
      </c>
      <c r="C7" s="12" t="n">
        <v>0</v>
      </c>
      <c r="D7" s="12" t="n">
        <v>0</v>
      </c>
      <c r="E7" s="12" t="n">
        <v>0</v>
      </c>
      <c r="F7" s="12" t="n">
        <v>0</v>
      </c>
      <c r="G7" s="12" t="n">
        <v>0</v>
      </c>
      <c r="H7" s="12" t="n">
        <v>0</v>
      </c>
      <c r="I7" s="12" t="n">
        <v>0</v>
      </c>
      <c r="J7" s="12" t="n">
        <v>0</v>
      </c>
      <c r="K7" s="12" t="n">
        <v>0</v>
      </c>
      <c r="L7" s="12" t="n">
        <v>0</v>
      </c>
      <c r="M7" s="12" t="n">
        <v>0</v>
      </c>
      <c r="N7" s="12" t="n">
        <v>0</v>
      </c>
      <c r="O7" s="12" t="n">
        <v>0</v>
      </c>
      <c r="P7" s="12" t="n">
        <v>2.11644453326105</v>
      </c>
      <c r="Q7" s="12" t="n">
        <v>2.55535412721612</v>
      </c>
      <c r="R7" s="12" t="n">
        <v>1.99120899472635</v>
      </c>
      <c r="S7" s="12" t="n">
        <v>2.16799745752449</v>
      </c>
      <c r="T7" s="12" t="n">
        <v>3.1504039032381</v>
      </c>
      <c r="U7" s="12" t="n">
        <v>3.83890530390536</v>
      </c>
      <c r="V7" s="12" t="n">
        <v>3.29207518192928</v>
      </c>
      <c r="W7" s="12" t="n">
        <v>5.75434937137478</v>
      </c>
      <c r="X7" s="12" t="n">
        <v>3.88263282651188</v>
      </c>
    </row>
    <row r="8" customFormat="false" ht="15" hidden="false" customHeight="false" outlineLevel="0" collapsed="false">
      <c r="A8" s="4" t="s">
        <v>78</v>
      </c>
      <c r="B8" s="4" t="s">
        <v>82</v>
      </c>
      <c r="C8" s="12" t="n">
        <v>22.0284218043369</v>
      </c>
      <c r="D8" s="12" t="n">
        <v>19.9494027782359</v>
      </c>
      <c r="E8" s="12" t="n">
        <v>22.7590121101585</v>
      </c>
      <c r="F8" s="12" t="n">
        <v>22.4907165547079</v>
      </c>
      <c r="G8" s="12" t="n">
        <v>26.6655219033688</v>
      </c>
      <c r="H8" s="12" t="n">
        <v>24.6058809970148</v>
      </c>
      <c r="I8" s="12" t="n">
        <v>23.7785367401566</v>
      </c>
      <c r="J8" s="12" t="n">
        <v>24.3601950417644</v>
      </c>
      <c r="K8" s="12" t="n">
        <v>20.2284501991868</v>
      </c>
      <c r="L8" s="12" t="n">
        <v>6.87275435145469</v>
      </c>
      <c r="M8" s="12" t="n">
        <v>22.2131406094207</v>
      </c>
      <c r="N8" s="12" t="n">
        <v>24.8208287319</v>
      </c>
      <c r="O8" s="12" t="n">
        <v>22.3054768953101</v>
      </c>
      <c r="P8" s="12" t="n">
        <v>18.3389426095703</v>
      </c>
      <c r="Q8" s="12" t="n">
        <v>16.7922320399252</v>
      </c>
      <c r="R8" s="12" t="n">
        <v>16.896546362099</v>
      </c>
      <c r="S8" s="12" t="n">
        <v>19.7129819635009</v>
      </c>
      <c r="T8" s="12" t="n">
        <v>18.9934979320215</v>
      </c>
      <c r="U8" s="12" t="n">
        <v>16.8859552658786</v>
      </c>
      <c r="V8" s="12" t="n">
        <v>15.0725567343622</v>
      </c>
      <c r="W8" s="12" t="n">
        <v>14.2955038820986</v>
      </c>
      <c r="X8" s="12" t="n">
        <v>10.1054144368286</v>
      </c>
    </row>
    <row r="9" customFormat="false" ht="15" hidden="false" customHeight="false" outlineLevel="0" collapsed="false">
      <c r="A9" s="4" t="s">
        <v>83</v>
      </c>
      <c r="B9" s="4" t="s">
        <v>79</v>
      </c>
      <c r="C9" s="12" t="n">
        <v>41.7712855944272</v>
      </c>
      <c r="D9" s="12" t="n">
        <v>40.164388325104</v>
      </c>
      <c r="E9" s="12" t="n">
        <v>38.8427172142802</v>
      </c>
      <c r="F9" s="12" t="n">
        <v>32.9793247512377</v>
      </c>
      <c r="G9" s="12" t="n">
        <v>43.9263667296659</v>
      </c>
      <c r="H9" s="12" t="n">
        <v>38.150931023768</v>
      </c>
      <c r="I9" s="12" t="n">
        <v>36.2902183243718</v>
      </c>
      <c r="J9" s="12" t="n">
        <v>37.6078867535246</v>
      </c>
      <c r="K9" s="12" t="n">
        <v>34.773232872533</v>
      </c>
      <c r="L9" s="12" t="n">
        <v>39.5178099096016</v>
      </c>
      <c r="M9" s="12" t="n">
        <v>37.8382858320644</v>
      </c>
      <c r="N9" s="12" t="n">
        <v>74.9650648179045</v>
      </c>
      <c r="O9" s="12" t="n">
        <v>39.4475385346606</v>
      </c>
      <c r="P9" s="12" t="n">
        <v>37.4917630802451</v>
      </c>
      <c r="Q9" s="12" t="n">
        <v>36.1348393131917</v>
      </c>
      <c r="R9" s="12" t="n">
        <v>31.2532137266446</v>
      </c>
      <c r="S9" s="12" t="n">
        <v>41.9159512413347</v>
      </c>
      <c r="T9" s="12" t="n">
        <v>37.0222243925497</v>
      </c>
      <c r="U9" s="12" t="n">
        <v>35.9389745373645</v>
      </c>
      <c r="V9" s="12" t="n">
        <v>36.0136145401964</v>
      </c>
      <c r="W9" s="12" t="n">
        <v>36.642712696449</v>
      </c>
      <c r="X9" s="12" t="n">
        <v>23.0157717897061</v>
      </c>
    </row>
    <row r="10" customFormat="false" ht="15" hidden="false" customHeight="false" outlineLevel="0" collapsed="false">
      <c r="A10" s="4" t="s">
        <v>83</v>
      </c>
      <c r="B10" s="4" t="s">
        <v>80</v>
      </c>
      <c r="C10" s="12" t="n">
        <v>0</v>
      </c>
      <c r="D10" s="12" t="n">
        <v>0</v>
      </c>
      <c r="E10" s="12" t="n">
        <v>0</v>
      </c>
      <c r="F10" s="12" t="n">
        <v>0</v>
      </c>
      <c r="G10" s="12" t="n">
        <v>0</v>
      </c>
      <c r="H10" s="12" t="n">
        <v>0</v>
      </c>
      <c r="I10" s="12" t="n">
        <v>0</v>
      </c>
      <c r="J10" s="12" t="n">
        <v>0</v>
      </c>
      <c r="K10" s="12" t="n">
        <v>0</v>
      </c>
      <c r="L10" s="12" t="n">
        <v>0</v>
      </c>
      <c r="M10" s="12" t="n">
        <v>0.0114535504302472</v>
      </c>
      <c r="N10" s="12" t="n">
        <v>0.591813140963376</v>
      </c>
      <c r="O10" s="12" t="n">
        <v>0.325520567244391</v>
      </c>
      <c r="P10" s="12" t="n">
        <v>0.299492654754612</v>
      </c>
      <c r="Q10" s="12" t="n">
        <v>0.253834722270086</v>
      </c>
      <c r="R10" s="12" t="n">
        <v>0.246259406819767</v>
      </c>
      <c r="S10" s="12" t="n">
        <v>0.31598448084568</v>
      </c>
      <c r="T10" s="12" t="n">
        <v>0.312733320193361</v>
      </c>
      <c r="U10" s="12" t="n">
        <v>0.318060398437266</v>
      </c>
      <c r="V10" s="12" t="n">
        <v>0.276579212146794</v>
      </c>
      <c r="W10" s="12" t="n">
        <v>0.334442201973407</v>
      </c>
      <c r="X10" s="12" t="n">
        <v>0.212261739219205</v>
      </c>
    </row>
    <row r="11" customFormat="false" ht="15" hidden="false" customHeight="false" outlineLevel="0" collapsed="false">
      <c r="A11" s="4" t="s">
        <v>83</v>
      </c>
      <c r="B11" s="4" t="s">
        <v>81</v>
      </c>
      <c r="C11" s="12" t="n">
        <v>0</v>
      </c>
      <c r="D11" s="12" t="n">
        <v>0</v>
      </c>
      <c r="E11" s="12" t="n">
        <v>0</v>
      </c>
      <c r="F11" s="12" t="n">
        <v>0</v>
      </c>
      <c r="G11" s="12" t="n">
        <v>0</v>
      </c>
      <c r="H11" s="12" t="n">
        <v>0</v>
      </c>
      <c r="I11" s="12" t="n">
        <v>0</v>
      </c>
      <c r="J11" s="12" t="n">
        <v>0</v>
      </c>
      <c r="K11" s="12" t="n">
        <v>0</v>
      </c>
      <c r="L11" s="12" t="n">
        <v>0</v>
      </c>
      <c r="M11" s="12" t="n">
        <v>0</v>
      </c>
      <c r="N11" s="12" t="n">
        <v>0</v>
      </c>
      <c r="O11" s="12" t="n">
        <v>0</v>
      </c>
      <c r="P11" s="12" t="n">
        <v>0</v>
      </c>
      <c r="Q11" s="12" t="n">
        <v>0.222431517538471</v>
      </c>
      <c r="R11" s="12" t="n">
        <v>0.471112279653131</v>
      </c>
      <c r="S11" s="12" t="n">
        <v>0.684646430953042</v>
      </c>
      <c r="T11" s="12" t="n">
        <v>0.701622397237312</v>
      </c>
      <c r="U11" s="12" t="n">
        <v>0.646768372302813</v>
      </c>
      <c r="V11" s="12" t="n">
        <v>0.721527568853067</v>
      </c>
      <c r="W11" s="12" t="n">
        <v>0.869736921320465</v>
      </c>
      <c r="X11" s="12" t="n">
        <v>0.754799347240238</v>
      </c>
    </row>
    <row r="12" customFormat="false" ht="15" hidden="false" customHeight="false" outlineLevel="0" collapsed="false">
      <c r="A12" s="4" t="s">
        <v>83</v>
      </c>
      <c r="B12" s="4" t="s">
        <v>82</v>
      </c>
      <c r="C12" s="12" t="n">
        <v>2.85997713388904</v>
      </c>
      <c r="D12" s="12" t="n">
        <v>2.81620029218072</v>
      </c>
      <c r="E12" s="12" t="n">
        <v>2.73456495217639</v>
      </c>
      <c r="F12" s="12" t="n">
        <v>2.50497821896582</v>
      </c>
      <c r="G12" s="12" t="n">
        <v>2.98993723150337</v>
      </c>
      <c r="H12" s="12" t="n">
        <v>2.7544732120012</v>
      </c>
      <c r="I12" s="12" t="n">
        <v>2.52991986541712</v>
      </c>
      <c r="J12" s="12" t="n">
        <v>2.65595807521355</v>
      </c>
      <c r="K12" s="12" t="n">
        <v>1.68528711184037</v>
      </c>
      <c r="L12" s="12" t="n">
        <v>1.85819399673382</v>
      </c>
      <c r="M12" s="12" t="n">
        <v>1.80319611502442</v>
      </c>
      <c r="N12" s="12" t="n">
        <v>3.67659711131258</v>
      </c>
      <c r="O12" s="12" t="n">
        <v>1.88105170485826</v>
      </c>
      <c r="P12" s="12" t="n">
        <v>1.13218875362468</v>
      </c>
      <c r="Q12" s="12" t="n">
        <v>0.760583325281869</v>
      </c>
      <c r="R12" s="12" t="n">
        <v>0.686641934110956</v>
      </c>
      <c r="S12" s="12" t="n">
        <v>0.664570380156915</v>
      </c>
      <c r="T12" s="12" t="n">
        <v>0.563202205363938</v>
      </c>
      <c r="U12" s="12" t="n">
        <v>0.5820887770478</v>
      </c>
      <c r="V12" s="12" t="n">
        <v>0.577547173560848</v>
      </c>
      <c r="W12" s="12" t="n">
        <v>0.552927350246785</v>
      </c>
      <c r="X12" s="12" t="n">
        <v>0.361867325902216</v>
      </c>
    </row>
    <row r="13" customFormat="false" ht="15" hidden="false" customHeight="false" outlineLevel="0" collapsed="false">
      <c r="A13" s="7" t="s">
        <v>84</v>
      </c>
      <c r="C13" s="13" t="n">
        <f aca="false">SUM(C5:C12)</f>
        <v>402.296062902201</v>
      </c>
      <c r="D13" s="13" t="n">
        <f aca="false">SUM(D5:D12)</f>
        <v>377.418526056048</v>
      </c>
      <c r="E13" s="13" t="n">
        <f aca="false">SUM(E5:E12)</f>
        <v>389.105305834295</v>
      </c>
      <c r="F13" s="13" t="n">
        <f aca="false">SUM(F5:F12)</f>
        <v>349.431244399068</v>
      </c>
      <c r="G13" s="13" t="n">
        <f aca="false">SUM(G5:G12)</f>
        <v>418.47144472306</v>
      </c>
      <c r="H13" s="13" t="n">
        <f aca="false">SUM(H5:H12)</f>
        <v>393.093122875328</v>
      </c>
      <c r="I13" s="13" t="n">
        <f aca="false">SUM(I5:I12)</f>
        <v>372.178253631975</v>
      </c>
      <c r="J13" s="13" t="n">
        <f aca="false">SUM(J5:J12)</f>
        <v>412.481437774105</v>
      </c>
      <c r="K13" s="13" t="n">
        <f aca="false">SUM(K5:K12)</f>
        <v>361.52613515701</v>
      </c>
      <c r="L13" s="13" t="n">
        <f aca="false">SUM(L5:L12)</f>
        <v>383.390527887508</v>
      </c>
      <c r="M13" s="13" t="n">
        <f aca="false">SUM(M5:M12)</f>
        <v>397.173904253222</v>
      </c>
      <c r="N13" s="13" t="n">
        <f aca="false">SUM(N5:N12)</f>
        <v>573.964288356179</v>
      </c>
      <c r="O13" s="13" t="n">
        <f aca="false">SUM(O5:O12)</f>
        <v>418.088650576725</v>
      </c>
      <c r="P13" s="13" t="n">
        <f aca="false">SUM(P5:P12)</f>
        <v>397.887507747319</v>
      </c>
      <c r="Q13" s="13" t="n">
        <f aca="false">SUM(Q5:Q12)</f>
        <v>399.469373045572</v>
      </c>
      <c r="R13" s="13" t="n">
        <f aca="false">SUM(R5:R12)</f>
        <v>360.882084610464</v>
      </c>
      <c r="S13" s="13" t="n">
        <f aca="false">SUM(S5:S12)</f>
        <v>445.785310988756</v>
      </c>
      <c r="T13" s="13" t="n">
        <f aca="false">SUM(T5:T12)</f>
        <v>402.868509171165</v>
      </c>
      <c r="U13" s="13" t="n">
        <f aca="false">SUM(U5:U12)</f>
        <v>397.642488423388</v>
      </c>
      <c r="V13" s="13" t="n">
        <f aca="false">SUM(V5:V12)</f>
        <v>395.924283384425</v>
      </c>
      <c r="W13" s="13" t="n">
        <f aca="false">SUM(W5:W12)</f>
        <v>390.345211191249</v>
      </c>
      <c r="X13" s="13" t="n">
        <f aca="false">SUM(X5:X12)</f>
        <v>251.103969100938</v>
      </c>
    </row>
    <row r="15" customFormat="false" ht="15" hidden="false" customHeight="false" outlineLevel="0" collapsed="false">
      <c r="A15" s="7" t="s">
        <v>85</v>
      </c>
      <c r="O15" s="14" t="n">
        <f aca="false">O13/C13-1</f>
        <v>0.0392561328107333</v>
      </c>
      <c r="P15" s="14" t="n">
        <f aca="false">P13/D13-1</f>
        <v>0.0542341731476914</v>
      </c>
      <c r="Q15" s="14" t="n">
        <f aca="false">Q13/E13-1</f>
        <v>0.0266356357928736</v>
      </c>
      <c r="R15" s="14" t="n">
        <f aca="false">R13/F13-1</f>
        <v>0.0327699379919173</v>
      </c>
      <c r="S15" s="14" t="n">
        <f aca="false">S13/G13-1</f>
        <v>0.0652705617315692</v>
      </c>
      <c r="T15" s="14" t="n">
        <f aca="false">T13/H13-1</f>
        <v>0.024867863941078</v>
      </c>
      <c r="U15" s="14" t="n">
        <f aca="false">U13/I13-1</f>
        <v>0.0684194590707972</v>
      </c>
      <c r="V15" s="14" t="n">
        <f aca="false">V13/J13-1</f>
        <v>-0.0401403623858287</v>
      </c>
      <c r="W15" s="14" t="n">
        <f aca="false">W13/K13-1</f>
        <v>0.0797150557918107</v>
      </c>
      <c r="X15" s="14" t="n">
        <f aca="false">X13/(L13*Model!$B$4/Model!$B$5)-1</f>
        <v>0.068612601994045</v>
      </c>
    </row>
    <row r="16" customFormat="false" ht="15" hidden="false" customHeight="false" outlineLevel="0" collapsed="false">
      <c r="A16"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5" min="3" style="0" width="14"/>
    <col collapsed="false" customWidth="true" hidden="false" outlineLevel="0" max="6" min="6" style="0" width="16"/>
    <col collapsed="false" customWidth="true" hidden="false" outlineLevel="0" max="8" min="7" style="0" width="13"/>
    <col collapsed="false" customWidth="true" hidden="false" outlineLevel="0" max="9" min="9" style="0" width="16"/>
    <col collapsed="false" customWidth="true" hidden="false" outlineLevel="0" max="10" min="10" style="0" width="15"/>
    <col collapsed="false" customWidth="true" hidden="false" outlineLevel="0" max="12" min="11" style="0" width="14"/>
    <col collapsed="false" customWidth="true" hidden="false" outlineLevel="0" max="13" min="13" style="0" width="15"/>
    <col collapsed="false" customWidth="true" hidden="false" outlineLevel="0" max="14" min="14" style="0" width="11"/>
  </cols>
  <sheetData>
    <row r="1" customFormat="false" ht="15" hidden="false" customHeight="false" outlineLevel="0" collapsed="false">
      <c r="A1" s="1" t="s">
        <v>87</v>
      </c>
    </row>
    <row r="3" customFormat="false" ht="15" hidden="false" customHeight="false" outlineLevel="0" collapsed="false">
      <c r="A3" s="7" t="s">
        <v>88</v>
      </c>
      <c r="B3" s="15" t="n">
        <v>5000</v>
      </c>
      <c r="C3" s="2" t="s">
        <v>89</v>
      </c>
    </row>
    <row r="4" customFormat="false" ht="15" hidden="false" customHeight="false" outlineLevel="0" collapsed="false">
      <c r="A4" s="7" t="s">
        <v>90</v>
      </c>
      <c r="B4" s="15" t="n">
        <v>19</v>
      </c>
      <c r="C4" s="2" t="s">
        <v>91</v>
      </c>
    </row>
    <row r="5" customFormat="false" ht="15" hidden="false" customHeight="false" outlineLevel="0" collapsed="false">
      <c r="A5" s="7" t="s">
        <v>92</v>
      </c>
      <c r="B5" s="16" t="n">
        <v>31</v>
      </c>
    </row>
    <row r="6" customFormat="false" ht="15" hidden="false" customHeight="false" outlineLevel="0" collapsed="false">
      <c r="A6" s="7" t="s">
        <v>93</v>
      </c>
      <c r="B6" s="17" t="n">
        <f aca="false">B5-B4</f>
        <v>12</v>
      </c>
    </row>
    <row r="9" customFormat="false" ht="54" hidden="false" customHeight="true" outlineLevel="0" collapsed="false">
      <c r="A9" s="3" t="s">
        <v>54</v>
      </c>
      <c r="B9" s="3" t="s">
        <v>55</v>
      </c>
      <c r="C9" s="3" t="s">
        <v>4</v>
      </c>
      <c r="D9" s="3" t="s">
        <v>94</v>
      </c>
      <c r="E9" s="3" t="s">
        <v>95</v>
      </c>
      <c r="F9" s="3" t="s">
        <v>96</v>
      </c>
      <c r="G9" s="3" t="s">
        <v>97</v>
      </c>
      <c r="H9" s="3" t="s">
        <v>98</v>
      </c>
      <c r="I9" s="3" t="s">
        <v>99</v>
      </c>
      <c r="J9" s="3" t="s">
        <v>100</v>
      </c>
      <c r="K9" s="3" t="s">
        <v>101</v>
      </c>
      <c r="L9" s="3" t="s">
        <v>102</v>
      </c>
      <c r="M9" s="3" t="s">
        <v>103</v>
      </c>
      <c r="N9" s="3" t="s">
        <v>104</v>
      </c>
    </row>
    <row r="11" customFormat="false" ht="15" hidden="false" customHeight="false" outlineLevel="0" collapsed="false">
      <c r="A11" s="4" t="s">
        <v>78</v>
      </c>
      <c r="B11" s="4" t="s">
        <v>79</v>
      </c>
      <c r="C11" s="5" t="n">
        <f aca="false">SUM(Monthly_Data!C5:N5)</f>
        <v>3965.46589497344</v>
      </c>
      <c r="D11" s="5" t="n">
        <f aca="false">SUM(Monthly_Data!C5:K5)+Monthly_Data!L5*$B$4/$B$5</f>
        <v>3067.68153701919</v>
      </c>
      <c r="E11" s="5" t="n">
        <f aca="false">SUM(Monthly_Data!O5:W5)+Monthly_Data!X5</f>
        <v>3118.796619137</v>
      </c>
      <c r="F11" s="5" t="n">
        <f aca="false">Monthly_Data!L5*$B$6/$B$5+Monthly_Data!M5+Monthly_Data!N5</f>
        <v>897.784357954244</v>
      </c>
      <c r="G11" s="5" t="n">
        <f aca="false">AVERAGE(Monthly_Data!I5:K5)</f>
        <v>313.109022433871</v>
      </c>
      <c r="H11" s="5" t="n">
        <f aca="false">AVERAGE(Monthly_Data!U5:W5)</f>
        <v>319.683385337242</v>
      </c>
      <c r="I11" s="18" t="n">
        <f aca="false">$F$11/$G$11</f>
        <v>2.86732190268921</v>
      </c>
      <c r="J11" s="10" t="n">
        <f aca="false">H11*I11</f>
        <v>916.635172703307</v>
      </c>
      <c r="K11" s="10" t="n">
        <f aca="false">E11+J11</f>
        <v>4035.43179184031</v>
      </c>
      <c r="L11" s="10" t="n">
        <f aca="false">K11-C11</f>
        <v>69.9658968668723</v>
      </c>
      <c r="M11" s="10" t="n">
        <f aca="false">E11-D11</f>
        <v>51.1150821178094</v>
      </c>
      <c r="N11" s="14" t="n">
        <f aca="false">IF(D11=0,"n/a",E11/D11-1)</f>
        <v>0.0166624473567347</v>
      </c>
    </row>
    <row r="12" customFormat="false" ht="15" hidden="false" customHeight="false" outlineLevel="0" collapsed="false">
      <c r="A12" s="4" t="s">
        <v>78</v>
      </c>
      <c r="B12" s="4" t="s">
        <v>80</v>
      </c>
      <c r="C12" s="5" t="n">
        <f aca="false">SUM(Monthly_Data!C6:N6)</f>
        <v>75.9914348987219</v>
      </c>
      <c r="D12" s="5" t="n">
        <f aca="false">SUM(Monthly_Data!C6:K6)+Monthly_Data!L6*$B$4/$B$5</f>
        <v>38.8256822314039</v>
      </c>
      <c r="E12" s="5" t="n">
        <f aca="false">SUM(Monthly_Data!O6:W6)+Monthly_Data!X6</f>
        <v>172.445202960215</v>
      </c>
      <c r="F12" s="5" t="n">
        <f aca="false">Monthly_Data!L6*$B$6/$B$5+Monthly_Data!M6+Monthly_Data!N6</f>
        <v>37.165752667318</v>
      </c>
      <c r="G12" s="5" t="n">
        <f aca="false">AVERAGE(Monthly_Data!I6:K6)</f>
        <v>7.64969142582296</v>
      </c>
      <c r="H12" s="5" t="n">
        <f aca="false">AVERAGE(Monthly_Data!U6:W6)</f>
        <v>17.4158338326297</v>
      </c>
      <c r="I12" s="18" t="n">
        <f aca="false">$F$11/$G$11</f>
        <v>2.86732190268921</v>
      </c>
      <c r="J12" s="10" t="n">
        <f aca="false">H12*I12</f>
        <v>49.9368018018947</v>
      </c>
      <c r="K12" s="10" t="n">
        <f aca="false">E12+J12</f>
        <v>222.38200476211</v>
      </c>
      <c r="L12" s="10" t="n">
        <f aca="false">K12-C12</f>
        <v>146.390569863388</v>
      </c>
      <c r="M12" s="10" t="n">
        <f aca="false">E12-D12</f>
        <v>133.619520728811</v>
      </c>
      <c r="N12" s="14" t="n">
        <f aca="false">IF(D12=0,"n/a",E12/D12-1)</f>
        <v>3.44152409048292</v>
      </c>
    </row>
    <row r="13" customFormat="false" ht="15" hidden="false" customHeight="false" outlineLevel="0" collapsed="false">
      <c r="A13" s="4" t="s">
        <v>78</v>
      </c>
      <c r="B13" s="4" t="s">
        <v>81</v>
      </c>
      <c r="C13" s="5" t="n">
        <f aca="false">SUM(Monthly_Data!C7:N7)</f>
        <v>0</v>
      </c>
      <c r="D13" s="5" t="n">
        <f aca="false">SUM(Monthly_Data!C7:K7)+Monthly_Data!L7*$B$4/$B$5</f>
        <v>0</v>
      </c>
      <c r="E13" s="5" t="n">
        <f aca="false">SUM(Monthly_Data!O7:W7)+Monthly_Data!X7</f>
        <v>28.7493716996874</v>
      </c>
      <c r="F13" s="5" t="n">
        <f aca="false">Monthly_Data!L7*$B$6/$B$5+Monthly_Data!M7+Monthly_Data!N7</f>
        <v>0</v>
      </c>
      <c r="G13" s="5" t="n">
        <f aca="false">AVERAGE(Monthly_Data!I7:K7)</f>
        <v>0</v>
      </c>
      <c r="H13" s="5" t="n">
        <f aca="false">AVERAGE(Monthly_Data!U7:W7)</f>
        <v>4.29510995240314</v>
      </c>
      <c r="I13" s="18" t="n">
        <f aca="false">$F$11/$G$11</f>
        <v>2.86732190268921</v>
      </c>
      <c r="J13" s="10" t="n">
        <f aca="false">H13*I13</f>
        <v>12.3154628409839</v>
      </c>
      <c r="K13" s="10" t="n">
        <f aca="false">E13+J13</f>
        <v>41.0648345406713</v>
      </c>
      <c r="L13" s="10" t="n">
        <f aca="false">K13-C13</f>
        <v>41.0648345406713</v>
      </c>
      <c r="M13" s="10" t="n">
        <f aca="false">E13-D13</f>
        <v>28.7493716996874</v>
      </c>
      <c r="N13" s="14" t="str">
        <f aca="false">IF(D13=0,"n/a",E13/D13-1)</f>
        <v>n/a</v>
      </c>
    </row>
    <row r="14" customFormat="false" ht="15" hidden="false" customHeight="false" outlineLevel="0" collapsed="false">
      <c r="A14" s="4" t="s">
        <v>78</v>
      </c>
      <c r="B14" s="4" t="s">
        <v>82</v>
      </c>
      <c r="C14" s="5" t="n">
        <f aca="false">SUM(Monthly_Data!C8:N8)</f>
        <v>260.772861821706</v>
      </c>
      <c r="D14" s="5" t="n">
        <f aca="false">SUM(Monthly_Data!C8:K8)+Monthly_Data!L8*$B$4/$B$5</f>
        <v>211.078471441112</v>
      </c>
      <c r="E14" s="5" t="n">
        <f aca="false">SUM(Monthly_Data!O8:W8)+Monthly_Data!X8</f>
        <v>169.399108121595</v>
      </c>
      <c r="F14" s="5" t="n">
        <f aca="false">Monthly_Data!L8*$B$6/$B$5+Monthly_Data!M8+Monthly_Data!N8</f>
        <v>49.6943903805935</v>
      </c>
      <c r="G14" s="5" t="n">
        <f aca="false">AVERAGE(Monthly_Data!I8:K8)</f>
        <v>22.7890606603693</v>
      </c>
      <c r="H14" s="5" t="n">
        <f aca="false">AVERAGE(Monthly_Data!U8:W8)</f>
        <v>15.4180052941131</v>
      </c>
      <c r="I14" s="18" t="n">
        <f aca="false">$F$11/$G$11</f>
        <v>2.86732190268921</v>
      </c>
      <c r="J14" s="10" t="n">
        <f aca="false">H14*I14</f>
        <v>44.2083842755887</v>
      </c>
      <c r="K14" s="10" t="n">
        <f aca="false">E14+J14</f>
        <v>213.607492397184</v>
      </c>
      <c r="L14" s="10" t="n">
        <f aca="false">K14-C14</f>
        <v>-47.1653694245224</v>
      </c>
      <c r="M14" s="10" t="n">
        <f aca="false">E14-D14</f>
        <v>-41.6793633195175</v>
      </c>
      <c r="N14" s="14" t="n">
        <f aca="false">IF(D14=0,"n/a",E14/D14-1)</f>
        <v>-0.197459092037936</v>
      </c>
    </row>
    <row r="15" customFormat="false" ht="15" hidden="false" customHeight="false" outlineLevel="0" collapsed="false">
      <c r="A15" s="4" t="s">
        <v>83</v>
      </c>
      <c r="B15" s="4" t="s">
        <v>79</v>
      </c>
      <c r="C15" s="5" t="n">
        <f aca="false">SUM(Monthly_Data!C9:N9)</f>
        <v>496.827512148483</v>
      </c>
      <c r="D15" s="5" t="n">
        <f aca="false">SUM(Monthly_Data!C9:K9)+Monthly_Data!L9*$B$4/$B$5</f>
        <v>368.726944759313</v>
      </c>
      <c r="E15" s="5" t="n">
        <f aca="false">SUM(Monthly_Data!O9:W9)+Monthly_Data!X9</f>
        <v>354.876603852342</v>
      </c>
      <c r="F15" s="5" t="n">
        <f aca="false">Monthly_Data!L9*$B$6/$B$5+Monthly_Data!M9+Monthly_Data!N9</f>
        <v>128.10056738917</v>
      </c>
      <c r="G15" s="5" t="n">
        <f aca="false">AVERAGE(Monthly_Data!I9:K9)</f>
        <v>36.2237793168098</v>
      </c>
      <c r="H15" s="5" t="n">
        <f aca="false">AVERAGE(Monthly_Data!U9:W9)</f>
        <v>36.19843392467</v>
      </c>
      <c r="I15" s="18" t="n">
        <f aca="false">$F$15/$G$15</f>
        <v>3.53636671283838</v>
      </c>
      <c r="J15" s="10" t="n">
        <f aca="false">H15*I15</f>
        <v>128.010936788082</v>
      </c>
      <c r="K15" s="10" t="n">
        <f aca="false">E15+J15</f>
        <v>482.887540640425</v>
      </c>
      <c r="L15" s="10" t="n">
        <f aca="false">K15-C15</f>
        <v>-13.9399715080582</v>
      </c>
      <c r="M15" s="10" t="n">
        <f aca="false">E15-D15</f>
        <v>-13.850340906971</v>
      </c>
      <c r="N15" s="14" t="n">
        <f aca="false">IF(D15=0,"n/a",E15/D15-1)</f>
        <v>-0.0375625950417371</v>
      </c>
    </row>
    <row r="16" customFormat="false" ht="15" hidden="false" customHeight="false" outlineLevel="0" collapsed="false">
      <c r="A16" s="4" t="s">
        <v>83</v>
      </c>
      <c r="B16" s="4" t="s">
        <v>80</v>
      </c>
      <c r="C16" s="5" t="n">
        <f aca="false">SUM(Monthly_Data!C10:N10)</f>
        <v>0.603266691393623</v>
      </c>
      <c r="D16" s="5" t="n">
        <f aca="false">SUM(Monthly_Data!C10:K10)+Monthly_Data!L10*$B$4/$B$5</f>
        <v>0</v>
      </c>
      <c r="E16" s="5" t="n">
        <f aca="false">SUM(Monthly_Data!O10:W10)+Monthly_Data!X10</f>
        <v>2.89516870390457</v>
      </c>
      <c r="F16" s="5" t="n">
        <f aca="false">Monthly_Data!L10*$B$6/$B$5+Monthly_Data!M10+Monthly_Data!N10</f>
        <v>0.603266691393623</v>
      </c>
      <c r="G16" s="5" t="n">
        <f aca="false">AVERAGE(Monthly_Data!I10:K10)</f>
        <v>0</v>
      </c>
      <c r="H16" s="5" t="n">
        <f aca="false">AVERAGE(Monthly_Data!U10:W10)</f>
        <v>0.309693937519156</v>
      </c>
      <c r="I16" s="18" t="n">
        <f aca="false">$F$15/$G$15</f>
        <v>3.53636671283838</v>
      </c>
      <c r="J16" s="10" t="n">
        <f aca="false">H16*I16</f>
        <v>1.09519133181059</v>
      </c>
      <c r="K16" s="10" t="n">
        <f aca="false">E16+J16</f>
        <v>3.99036003571516</v>
      </c>
      <c r="L16" s="10" t="n">
        <f aca="false">K16-C16</f>
        <v>3.38709334432154</v>
      </c>
      <c r="M16" s="10" t="n">
        <f aca="false">E16-D16</f>
        <v>2.89516870390457</v>
      </c>
      <c r="N16" s="14" t="str">
        <f aca="false">IF(D16=0,"n/a",E16/D16-1)</f>
        <v>n/a</v>
      </c>
    </row>
    <row r="17" customFormat="false" ht="15" hidden="false" customHeight="false" outlineLevel="0" collapsed="false">
      <c r="A17" s="4" t="s">
        <v>83</v>
      </c>
      <c r="B17" s="4" t="s">
        <v>81</v>
      </c>
      <c r="C17" s="5" t="n">
        <f aca="false">SUM(Monthly_Data!C11:N11)</f>
        <v>0</v>
      </c>
      <c r="D17" s="5" t="n">
        <f aca="false">SUM(Monthly_Data!C11:K11)+Monthly_Data!L11*$B$4/$B$5</f>
        <v>0</v>
      </c>
      <c r="E17" s="5" t="n">
        <f aca="false">SUM(Monthly_Data!O11:W11)+Monthly_Data!X11</f>
        <v>5.07264483509854</v>
      </c>
      <c r="F17" s="5" t="n">
        <f aca="false">Monthly_Data!L11*$B$6/$B$5+Monthly_Data!M11+Monthly_Data!N11</f>
        <v>0</v>
      </c>
      <c r="G17" s="5" t="n">
        <f aca="false">AVERAGE(Monthly_Data!I11:K11)</f>
        <v>0</v>
      </c>
      <c r="H17" s="5" t="n">
        <f aca="false">AVERAGE(Monthly_Data!U11:W11)</f>
        <v>0.746010954158782</v>
      </c>
      <c r="I17" s="18" t="n">
        <f aca="false">$F$15/$G$15</f>
        <v>3.53636671283838</v>
      </c>
      <c r="J17" s="10" t="n">
        <f aca="false">H17*I17</f>
        <v>2.63816830569991</v>
      </c>
      <c r="K17" s="10" t="n">
        <f aca="false">E17+J17</f>
        <v>7.71081314079845</v>
      </c>
      <c r="L17" s="10" t="n">
        <f aca="false">K17-C17</f>
        <v>7.71081314079845</v>
      </c>
      <c r="M17" s="10" t="n">
        <f aca="false">E17-D17</f>
        <v>5.07264483509854</v>
      </c>
      <c r="N17" s="14" t="str">
        <f aca="false">IF(D17=0,"n/a",E17/D17-1)</f>
        <v>n/a</v>
      </c>
    </row>
    <row r="18" customFormat="false" ht="15" hidden="false" customHeight="false" outlineLevel="0" collapsed="false">
      <c r="A18" s="4" t="s">
        <v>83</v>
      </c>
      <c r="B18" s="4" t="s">
        <v>82</v>
      </c>
      <c r="C18" s="5" t="n">
        <f aca="false">SUM(Monthly_Data!C12:N12)</f>
        <v>30.8692833162584</v>
      </c>
      <c r="D18" s="5" t="n">
        <f aca="false">SUM(Monthly_Data!C12:K12)+Monthly_Data!L12*$B$4/$B$5</f>
        <v>24.6701891879599</v>
      </c>
      <c r="E18" s="5" t="n">
        <f aca="false">SUM(Monthly_Data!O12:W12)+Monthly_Data!X12</f>
        <v>7.76266893015427</v>
      </c>
      <c r="F18" s="5" t="n">
        <f aca="false">Monthly_Data!L12*$B$6/$B$5+Monthly_Data!M12+Monthly_Data!N12</f>
        <v>6.19909412829848</v>
      </c>
      <c r="G18" s="5" t="n">
        <f aca="false">AVERAGE(Monthly_Data!I12:K12)</f>
        <v>2.29038835082368</v>
      </c>
      <c r="H18" s="5" t="n">
        <f aca="false">AVERAGE(Monthly_Data!U12:W12)</f>
        <v>0.570854433618478</v>
      </c>
      <c r="I18" s="18" t="n">
        <f aca="false">$F$15/$G$15</f>
        <v>3.53636671283838</v>
      </c>
      <c r="J18" s="10" t="n">
        <f aca="false">H18*I18</f>
        <v>2.01875061692459</v>
      </c>
      <c r="K18" s="10" t="n">
        <f aca="false">E18+J18</f>
        <v>9.78141954707886</v>
      </c>
      <c r="L18" s="10" t="n">
        <f aca="false">K18-C18</f>
        <v>-21.0878637691795</v>
      </c>
      <c r="M18" s="10" t="n">
        <f aca="false">E18-D18</f>
        <v>-16.9075202578057</v>
      </c>
      <c r="N18" s="14" t="n">
        <f aca="false">IF(D18=0,"n/a",E18/D18-1)</f>
        <v>-0.685342140223928</v>
      </c>
    </row>
    <row r="19" customFormat="false" ht="15" hidden="false" customHeight="false" outlineLevel="0" collapsed="false">
      <c r="A19" s="7" t="s">
        <v>84</v>
      </c>
      <c r="C19" s="13" t="n">
        <f aca="false">SUM(C11:C18)</f>
        <v>4830.53025385</v>
      </c>
      <c r="D19" s="13" t="n">
        <f aca="false">SUM(D11:D18)</f>
        <v>3710.98282463898</v>
      </c>
      <c r="E19" s="13" t="n">
        <f aca="false">SUM(E11:E18)</f>
        <v>3859.99738824</v>
      </c>
      <c r="F19" s="13" t="n">
        <f aca="false">SUM(F11:F18)</f>
        <v>1119.54742921102</v>
      </c>
      <c r="J19" s="13" t="n">
        <f aca="false">SUM(J11:J18)</f>
        <v>1156.85886866429</v>
      </c>
      <c r="K19" s="13" t="n">
        <f aca="false">SUM(K11:K18)</f>
        <v>5016.85625690429</v>
      </c>
      <c r="L19" s="13" t="n">
        <f aca="false">SUM(L11:L18)</f>
        <v>186.326003054292</v>
      </c>
      <c r="M19" s="13" t="n">
        <f aca="false">SUM(M11:M18)</f>
        <v>149.014563601017</v>
      </c>
      <c r="N19" s="19" t="n">
        <f aca="false">E19/D19-1</f>
        <v>0.0401550130093942</v>
      </c>
    </row>
    <row r="20" customFormat="false" ht="15" hidden="false" customHeight="false" outlineLevel="0" collapsed="false">
      <c r="A20" s="2" t="s">
        <v>105</v>
      </c>
    </row>
    <row r="22" customFormat="false" ht="15" hidden="false" customHeight="false" outlineLevel="0" collapsed="false">
      <c r="A22" s="7" t="s">
        <v>106</v>
      </c>
    </row>
    <row r="23" customFormat="false" ht="15" hidden="false" customHeight="false" outlineLevel="0" collapsed="false">
      <c r="A23" s="4" t="s">
        <v>11</v>
      </c>
      <c r="B23" s="10" t="n">
        <f aca="false">K19</f>
        <v>5016.85625690429</v>
      </c>
    </row>
    <row r="24" customFormat="false" ht="15" hidden="false" customHeight="false" outlineLevel="0" collapsed="false">
      <c r="A24" s="4" t="s">
        <v>107</v>
      </c>
      <c r="B24" s="10" t="n">
        <f aca="false">K19-B3</f>
        <v>16.8562569042915</v>
      </c>
    </row>
    <row r="25" customFormat="false" ht="15" hidden="false" customHeight="false" outlineLevel="0" collapsed="false">
      <c r="A25" s="4" t="s">
        <v>5</v>
      </c>
      <c r="B25" s="10" t="n">
        <f aca="false">E19</f>
        <v>3859.99738824</v>
      </c>
    </row>
    <row r="26" customFormat="false" ht="15" hidden="false" customHeight="false" outlineLevel="0" collapsed="false">
      <c r="A26" s="4" t="s">
        <v>108</v>
      </c>
      <c r="B26" s="10" t="n">
        <f aca="false">B3-E19</f>
        <v>1140.00261176</v>
      </c>
    </row>
    <row r="27" customFormat="false" ht="15" hidden="false" customHeight="false" outlineLevel="0" collapsed="false">
      <c r="A27" s="4" t="s">
        <v>109</v>
      </c>
      <c r="B27" s="10" t="n">
        <f aca="false">F19</f>
        <v>1119.54742921102</v>
      </c>
    </row>
    <row r="28" customFormat="false" ht="15" hidden="false" customHeight="false" outlineLevel="0" collapsed="false">
      <c r="A28" s="4" t="s">
        <v>110</v>
      </c>
      <c r="B28" s="14" t="n">
        <f aca="false">B26/B27-1</f>
        <v>0.0182709387876485</v>
      </c>
    </row>
    <row r="29" customFormat="false" ht="15" hidden="false" customHeight="false" outlineLevel="0" collapsed="false">
      <c r="A29" s="4" t="s">
        <v>111</v>
      </c>
      <c r="B29" s="14" t="n">
        <f aca="false">J19/F19-1</f>
        <v>0.0333272521375616</v>
      </c>
    </row>
    <row r="30" customFormat="false" ht="15" hidden="false" customHeight="false" outlineLevel="0" collapsed="false">
      <c r="A30" s="4" t="s">
        <v>112</v>
      </c>
      <c r="B30" s="14" t="n">
        <f aca="false">E19/D19-1</f>
        <v>0.0401550130093942</v>
      </c>
    </row>
    <row r="31" customFormat="false" ht="15" hidden="false" customHeight="false" outlineLevel="0" collapsed="false">
      <c r="A31" s="4" t="s">
        <v>4</v>
      </c>
      <c r="B31" s="10" t="n">
        <f aca="false">C19</f>
        <v>4830.53025385</v>
      </c>
    </row>
    <row r="32" customFormat="false" ht="15" hidden="false" customHeight="false" outlineLevel="0" collapsed="false">
      <c r="A32" s="4" t="s">
        <v>113</v>
      </c>
      <c r="B32" s="14" t="n">
        <f aca="false">K19/C19-1</f>
        <v>0.0385725775976225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8"/>
    <col collapsed="false" customWidth="true" hidden="false" outlineLevel="0" max="4" min="4" style="0" width="14"/>
    <col collapsed="false" customWidth="true" hidden="false" outlineLevel="0" max="6" min="5" style="0" width="18"/>
  </cols>
  <sheetData>
    <row r="1" customFormat="false" ht="15" hidden="false" customHeight="false" outlineLevel="0" collapsed="false">
      <c r="A1" s="1" t="s">
        <v>114</v>
      </c>
    </row>
    <row r="3" customFormat="false" ht="15" hidden="false" customHeight="false" outlineLevel="0" collapsed="false">
      <c r="A3" s="3" t="s">
        <v>115</v>
      </c>
      <c r="B3" s="3" t="s">
        <v>116</v>
      </c>
      <c r="C3" s="3" t="s">
        <v>117</v>
      </c>
      <c r="D3" s="3" t="s">
        <v>118</v>
      </c>
      <c r="E3" s="3" t="s">
        <v>119</v>
      </c>
      <c r="F3" s="3" t="s">
        <v>120</v>
      </c>
    </row>
    <row r="4" customFormat="false" ht="15" hidden="false" customHeight="false" outlineLevel="0" collapsed="false">
      <c r="A4" s="4" t="s">
        <v>38</v>
      </c>
      <c r="B4" s="5" t="n">
        <f aca="false">Model!D11</f>
        <v>3067.68153701919</v>
      </c>
      <c r="C4" s="5" t="n">
        <f aca="false">Model!E11</f>
        <v>3118.796619137</v>
      </c>
      <c r="D4" s="10" t="n">
        <f aca="false">C4-B4</f>
        <v>51.1150821178094</v>
      </c>
      <c r="E4" s="14" t="n">
        <f aca="false">IF(B4=0,"new",C4/B4-1)</f>
        <v>0.0166624473567347</v>
      </c>
      <c r="F4" s="14" t="n">
        <f aca="false">D4/$D$11</f>
        <v>0.34302071477167</v>
      </c>
    </row>
    <row r="5" customFormat="false" ht="15" hidden="false" customHeight="false" outlineLevel="0" collapsed="false">
      <c r="A5" s="4" t="s">
        <v>121</v>
      </c>
      <c r="B5" s="5" t="n">
        <f aca="false">Model!D15</f>
        <v>368.726944759313</v>
      </c>
      <c r="C5" s="5" t="n">
        <f aca="false">Model!E15</f>
        <v>354.876603852342</v>
      </c>
      <c r="D5" s="10" t="n">
        <f aca="false">C5-B5</f>
        <v>-13.850340906971</v>
      </c>
      <c r="E5" s="14" t="n">
        <f aca="false">IF(B5=0,"new",C5/B5-1)</f>
        <v>-0.0375625950417371</v>
      </c>
      <c r="F5" s="14" t="n">
        <f aca="false">D5/$D$11</f>
        <v>-0.0929462233238826</v>
      </c>
    </row>
    <row r="6" customFormat="false" ht="15" hidden="false" customHeight="false" outlineLevel="0" collapsed="false">
      <c r="A6" s="4" t="s">
        <v>122</v>
      </c>
      <c r="B6" s="5" t="n">
        <f aca="false">Model!D12</f>
        <v>38.8256822314039</v>
      </c>
      <c r="C6" s="5" t="n">
        <f aca="false">Model!E12</f>
        <v>172.445202960215</v>
      </c>
      <c r="D6" s="10" t="n">
        <f aca="false">C6-B6</f>
        <v>133.619520728811</v>
      </c>
      <c r="E6" s="14" t="n">
        <f aca="false">IF(B6=0,"new",C6/B6-1)</f>
        <v>3.44152409048292</v>
      </c>
      <c r="F6" s="14" t="n">
        <f aca="false">D6/$D$11</f>
        <v>0.896687662600378</v>
      </c>
    </row>
    <row r="7" customFormat="false" ht="15" hidden="false" customHeight="false" outlineLevel="0" collapsed="false">
      <c r="A7" s="4" t="s">
        <v>123</v>
      </c>
      <c r="B7" s="5" t="n">
        <f aca="false">Model!D13</f>
        <v>0</v>
      </c>
      <c r="C7" s="5" t="n">
        <f aca="false">Model!E13</f>
        <v>28.7493716996874</v>
      </c>
      <c r="D7" s="10" t="n">
        <f aca="false">C7-B7</f>
        <v>28.7493716996874</v>
      </c>
      <c r="E7" s="14" t="str">
        <f aca="false">IF(B7=0,"new",C7/B7-1)</f>
        <v>new</v>
      </c>
      <c r="F7" s="14" t="n">
        <f aca="false">D7/$D$11</f>
        <v>0.192929945939131</v>
      </c>
    </row>
    <row r="8" customFormat="false" ht="15" hidden="false" customHeight="false" outlineLevel="0" collapsed="false">
      <c r="A8" s="4" t="s">
        <v>124</v>
      </c>
      <c r="B8" s="5" t="n">
        <f aca="false">Model!D16+Model!D17</f>
        <v>0</v>
      </c>
      <c r="C8" s="5" t="n">
        <f aca="false">Model!E16+Model!E17</f>
        <v>7.96781353900311</v>
      </c>
      <c r="D8" s="10" t="n">
        <f aca="false">C8-B8</f>
        <v>7.96781353900311</v>
      </c>
      <c r="E8" s="14" t="str">
        <f aca="false">IF(B8=0,"new",C8/B8-1)</f>
        <v>new</v>
      </c>
      <c r="F8" s="14" t="n">
        <f aca="false">D8/$D$11</f>
        <v>0.0534700323676868</v>
      </c>
    </row>
    <row r="9" customFormat="false" ht="15" hidden="false" customHeight="false" outlineLevel="0" collapsed="false">
      <c r="A9" s="4" t="s">
        <v>125</v>
      </c>
      <c r="B9" s="5" t="n">
        <f aca="false">Model!D14</f>
        <v>211.078471441112</v>
      </c>
      <c r="C9" s="5" t="n">
        <f aca="false">Model!E14</f>
        <v>169.399108121595</v>
      </c>
      <c r="D9" s="10" t="n">
        <f aca="false">C9-B9</f>
        <v>-41.6793633195175</v>
      </c>
      <c r="E9" s="14" t="n">
        <f aca="false">IF(B9=0,"new",C9/B9-1)</f>
        <v>-0.197459092037936</v>
      </c>
      <c r="F9" s="14" t="n">
        <f aca="false">D9/$D$11</f>
        <v>-0.279699932089276</v>
      </c>
    </row>
    <row r="10" customFormat="false" ht="15" hidden="false" customHeight="false" outlineLevel="0" collapsed="false">
      <c r="A10" s="4" t="s">
        <v>126</v>
      </c>
      <c r="B10" s="5" t="n">
        <f aca="false">Model!D18</f>
        <v>24.6701891879599</v>
      </c>
      <c r="C10" s="5" t="n">
        <f aca="false">Model!E18</f>
        <v>7.76266893015427</v>
      </c>
      <c r="D10" s="10" t="n">
        <f aca="false">C10-B10</f>
        <v>-16.9075202578057</v>
      </c>
      <c r="E10" s="14" t="n">
        <f aca="false">IF(B10=0,"new",C10/B10-1)</f>
        <v>-0.685342140223928</v>
      </c>
      <c r="F10" s="14" t="n">
        <f aca="false">D10/$D$11</f>
        <v>-0.113462200265708</v>
      </c>
    </row>
    <row r="11" customFormat="false" ht="15" hidden="false" customHeight="false" outlineLevel="0" collapsed="false">
      <c r="A11" s="7" t="s">
        <v>127</v>
      </c>
      <c r="B11" s="13" t="n">
        <f aca="false">SUM(B4:B10)</f>
        <v>3710.98282463898</v>
      </c>
      <c r="C11" s="13" t="n">
        <f aca="false">SUM(C4:C10)</f>
        <v>3859.99738824</v>
      </c>
      <c r="D11" s="13" t="n">
        <f aca="false">SUM(D4:D10)</f>
        <v>149.014563601017</v>
      </c>
      <c r="E11" s="19" t="n">
        <f aca="false">C11/B11-1</f>
        <v>0.0401550130093942</v>
      </c>
      <c r="F11" s="19" t="n">
        <f aca="false">SUM(F4:F10)</f>
        <v>1</v>
      </c>
    </row>
    <row r="13" customFormat="false" ht="15" hidden="false" customHeight="false" outlineLevel="0" collapsed="false">
      <c r="A13" s="7" t="s">
        <v>128</v>
      </c>
    </row>
    <row r="14" customFormat="false" ht="23.85" hidden="false" customHeight="false" outlineLevel="0" collapsed="false">
      <c r="A14" s="3" t="s">
        <v>54</v>
      </c>
      <c r="B14" s="3" t="s">
        <v>129</v>
      </c>
      <c r="C14" s="3" t="s">
        <v>120</v>
      </c>
      <c r="D14" s="3" t="s">
        <v>130</v>
      </c>
      <c r="E14" s="3" t="s">
        <v>131</v>
      </c>
    </row>
    <row r="15" customFormat="false" ht="15" hidden="false" customHeight="false" outlineLevel="0" collapsed="false">
      <c r="A15" s="4" t="s">
        <v>132</v>
      </c>
      <c r="B15" s="10" t="n">
        <f aca="false">D4+D5</f>
        <v>37.2647412108383</v>
      </c>
      <c r="C15" s="14" t="n">
        <f aca="false">B15/$D$11</f>
        <v>0.250074491447788</v>
      </c>
      <c r="D15" s="10" t="n">
        <f aca="false">B4+B5</f>
        <v>3436.40848177851</v>
      </c>
      <c r="E15" s="14" t="n">
        <f aca="false">IF(D15=0,"n/a",B15/D15)</f>
        <v>0.0108440953421091</v>
      </c>
    </row>
    <row r="16" customFormat="false" ht="15" hidden="false" customHeight="false" outlineLevel="0" collapsed="false">
      <c r="A16" s="4" t="s">
        <v>133</v>
      </c>
      <c r="B16" s="10" t="n">
        <f aca="false">D6+D7+D8</f>
        <v>170.336705967502</v>
      </c>
      <c r="C16" s="14" t="n">
        <f aca="false">B16/$D$11</f>
        <v>1.1430876409072</v>
      </c>
      <c r="D16" s="10" t="n">
        <f aca="false">B6+B7+B8</f>
        <v>38.8256822314039</v>
      </c>
      <c r="E16" s="14" t="n">
        <f aca="false">IF(D16=0,"n/a",B16/D16)</f>
        <v>4.38721733084515</v>
      </c>
    </row>
    <row r="17" customFormat="false" ht="15" hidden="false" customHeight="false" outlineLevel="0" collapsed="false">
      <c r="A17" s="4" t="s">
        <v>134</v>
      </c>
      <c r="B17" s="10" t="n">
        <f aca="false">D9+D10</f>
        <v>-58.5868835773232</v>
      </c>
      <c r="C17" s="14" t="n">
        <f aca="false">B17/$D$11</f>
        <v>-0.393162132354983</v>
      </c>
      <c r="D17" s="10" t="n">
        <f aca="false">B9+B10</f>
        <v>235.748660629072</v>
      </c>
      <c r="E17" s="14" t="n">
        <f aca="false">IF(D17=0,"n/a",B17/D17)</f>
        <v>-0.248514173616044</v>
      </c>
    </row>
    <row r="19" customFormat="false" ht="15" hidden="false" customHeight="false" outlineLevel="0" collapsed="false">
      <c r="A19" s="7" t="s">
        <v>135</v>
      </c>
      <c r="B19" s="20" t="n">
        <f aca="false">E4</f>
        <v>0.0166624473567347</v>
      </c>
    </row>
    <row r="20" customFormat="false" ht="15" hidden="false" customHeight="false" outlineLevel="0" collapsed="false">
      <c r="A20" s="7" t="s">
        <v>136</v>
      </c>
      <c r="B20" s="20" t="n">
        <f aca="false">E5</f>
        <v>-0.0375625950417371</v>
      </c>
    </row>
    <row r="21" customFormat="false" ht="15" hidden="false" customHeight="false" outlineLevel="0" collapsed="false">
      <c r="A21" s="7" t="s">
        <v>137</v>
      </c>
      <c r="B21" s="20" t="n">
        <f aca="false">(C4+C5)/(B4+B5)-1</f>
        <v>0.010844095342109</v>
      </c>
    </row>
    <row r="23" customFormat="false" ht="15" hidden="false" customHeight="false" outlineLevel="0" collapsed="false">
      <c r="A23" s="2"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2"/>
    <col collapsed="false" customWidth="true" hidden="false" outlineLevel="0" max="5" min="4" style="0" width="11"/>
    <col collapsed="false" customWidth="true" hidden="false" outlineLevel="0" max="7" min="6" style="0" width="10"/>
    <col collapsed="false" customWidth="true" hidden="false" outlineLevel="0" max="8" min="8" style="0" width="12"/>
    <col collapsed="false" customWidth="true" hidden="false" outlineLevel="0" max="9" min="9" style="0" width="18"/>
    <col collapsed="false" customWidth="true" hidden="false" outlineLevel="0" max="11" min="10" style="0" width="14"/>
    <col collapsed="false" customWidth="true" hidden="false" outlineLevel="0" max="12" min="12" style="0" width="12"/>
    <col collapsed="false" customWidth="true" hidden="false" outlineLevel="0" max="13" min="13" style="0" width="13"/>
  </cols>
  <sheetData>
    <row r="1" customFormat="false" ht="15" hidden="false" customHeight="false" outlineLevel="0" collapsed="false">
      <c r="A1" s="1" t="s">
        <v>139</v>
      </c>
    </row>
    <row r="2" customFormat="false" ht="15" hidden="false" customHeight="false" outlineLevel="0" collapsed="false">
      <c r="A2" s="2" t="s">
        <v>140</v>
      </c>
    </row>
    <row r="4" customFormat="false" ht="15" hidden="false" customHeight="false" outlineLevel="0" collapsed="false">
      <c r="A4" s="7" t="s">
        <v>141</v>
      </c>
    </row>
    <row r="5" customFormat="false" ht="39.75" hidden="false" customHeight="true" outlineLevel="0" collapsed="false">
      <c r="A5" s="3" t="s">
        <v>142</v>
      </c>
      <c r="B5" s="3" t="s">
        <v>116</v>
      </c>
      <c r="C5" s="3" t="s">
        <v>117</v>
      </c>
      <c r="D5" s="3" t="s">
        <v>118</v>
      </c>
      <c r="E5" s="3" t="s">
        <v>119</v>
      </c>
      <c r="F5" s="3" t="s">
        <v>143</v>
      </c>
      <c r="G5" s="3" t="s">
        <v>144</v>
      </c>
      <c r="H5" s="3" t="s">
        <v>145</v>
      </c>
      <c r="I5" s="3" t="s">
        <v>146</v>
      </c>
      <c r="J5" s="3" t="s">
        <v>147</v>
      </c>
      <c r="K5" s="3" t="s">
        <v>148</v>
      </c>
      <c r="L5" s="3" t="s">
        <v>149</v>
      </c>
      <c r="M5" s="3" t="s">
        <v>150</v>
      </c>
    </row>
    <row r="6" customFormat="false" ht="15" hidden="false" customHeight="false" outlineLevel="0" collapsed="false">
      <c r="A6" s="4" t="s">
        <v>151</v>
      </c>
      <c r="B6" s="12" t="n">
        <v>553.108976110929</v>
      </c>
      <c r="C6" s="12" t="n">
        <v>564.496092774022</v>
      </c>
      <c r="D6" s="10" t="n">
        <f aca="false">C6-B6</f>
        <v>11.3871166630931</v>
      </c>
      <c r="E6" s="14" t="n">
        <f aca="false">IF(B6&lt;0.05,"new",C6/B6-1)</f>
        <v>0.020587473996823</v>
      </c>
      <c r="F6" s="14" t="n">
        <f aca="false">B6/B$30</f>
        <v>0.180301954240131</v>
      </c>
      <c r="G6" s="14" t="n">
        <f aca="false">C6/C$30</f>
        <v>0.180998045627683</v>
      </c>
      <c r="H6" s="21" t="n">
        <f aca="false">(G6-F6)*100</f>
        <v>0.0696091387551917</v>
      </c>
      <c r="I6" s="21" t="n">
        <f aca="false">D6/B$30*100</f>
        <v>0.371196179449506</v>
      </c>
      <c r="J6" s="16" t="n">
        <v>1829091.32258065</v>
      </c>
      <c r="K6" s="16" t="n">
        <v>1823507</v>
      </c>
      <c r="L6" s="14" t="n">
        <f aca="false">IF(J6&lt;1,"new",K6/J6-1)</f>
        <v>-0.00305305837478154</v>
      </c>
      <c r="M6" s="14" t="n">
        <f aca="false">IF(OR(J6&lt;1,K6&lt;1,B6&lt;=0),"n/a",(C6/K6)/(B6/J6)-1)</f>
        <v>0.0237129293290832</v>
      </c>
    </row>
    <row r="7" customFormat="false" ht="15" hidden="false" customHeight="false" outlineLevel="0" collapsed="false">
      <c r="A7" s="4" t="s">
        <v>152</v>
      </c>
      <c r="B7" s="12" t="n">
        <v>503.833254039707</v>
      </c>
      <c r="C7" s="12" t="n">
        <v>508.662098743933</v>
      </c>
      <c r="D7" s="10" t="n">
        <f aca="false">C7-B7</f>
        <v>4.82884470422619</v>
      </c>
      <c r="E7" s="14" t="n">
        <f aca="false">IF(B7&lt;0.05,"new",C7/B7-1)</f>
        <v>0.00958421196994985</v>
      </c>
      <c r="F7" s="14" t="n">
        <f aca="false">B7/B$30</f>
        <v>0.164239099776071</v>
      </c>
      <c r="G7" s="14" t="n">
        <f aca="false">C7/C$30</f>
        <v>0.163095629776809</v>
      </c>
      <c r="H7" s="21" t="n">
        <f aca="false">(G7-F7)*100</f>
        <v>-0.114346999926199</v>
      </c>
      <c r="I7" s="21" t="n">
        <f aca="false">D7/B$30*100</f>
        <v>0.157410234600762</v>
      </c>
      <c r="J7" s="16" t="n">
        <v>915229.838709678</v>
      </c>
      <c r="K7" s="16" t="n">
        <v>900082</v>
      </c>
      <c r="L7" s="14" t="n">
        <f aca="false">IF(J7&lt;1,"new",K7/J7-1)</f>
        <v>-0.0165508575758778</v>
      </c>
      <c r="M7" s="14" t="n">
        <f aca="false">IF(OR(J7&lt;1,K7&lt;1,B7&lt;=0),"n/a",(C7/K7)/(B7/J7)-1)</f>
        <v>0.0265749070474624</v>
      </c>
    </row>
    <row r="8" customFormat="false" ht="15" hidden="false" customHeight="false" outlineLevel="0" collapsed="false">
      <c r="A8" s="4" t="s">
        <v>153</v>
      </c>
      <c r="B8" s="12" t="n">
        <v>479.341806973733</v>
      </c>
      <c r="C8" s="12" t="n">
        <v>480.203153538075</v>
      </c>
      <c r="D8" s="10" t="n">
        <f aca="false">C8-B8</f>
        <v>0.861346564342171</v>
      </c>
      <c r="E8" s="14" t="n">
        <f aca="false">IF(B8&lt;0.05,"new",C8/B8-1)</f>
        <v>0.00179693603147246</v>
      </c>
      <c r="F8" s="14" t="n">
        <f aca="false">B8/B$30</f>
        <v>0.156255400434916</v>
      </c>
      <c r="G8" s="14" t="n">
        <f aca="false">C8/C$30</f>
        <v>0.153970653485879</v>
      </c>
      <c r="H8" s="21" t="n">
        <f aca="false">(G8-F8)*100</f>
        <v>-0.228474694903688</v>
      </c>
      <c r="I8" s="21" t="n">
        <f aca="false">D8/B$30*100</f>
        <v>0.0280780959153643</v>
      </c>
      <c r="J8" s="16" t="n">
        <v>970338.838709678</v>
      </c>
      <c r="K8" s="16" t="n">
        <v>956500</v>
      </c>
      <c r="L8" s="14" t="n">
        <f aca="false">IF(J8&lt;1,"new",K8/J8-1)</f>
        <v>-0.0142618621017786</v>
      </c>
      <c r="M8" s="14" t="n">
        <f aca="false">IF(OR(J8&lt;1,K8&lt;1,B8&lt;=0),"n/a",(C8/K8)/(B8/J8)-1)</f>
        <v>0.0162911401272261</v>
      </c>
    </row>
    <row r="9" customFormat="false" ht="15" hidden="false" customHeight="false" outlineLevel="0" collapsed="false">
      <c r="A9" s="4" t="s">
        <v>154</v>
      </c>
      <c r="B9" s="12" t="n">
        <v>359.55042558263</v>
      </c>
      <c r="C9" s="12" t="n">
        <v>376.129377561515</v>
      </c>
      <c r="D9" s="10" t="n">
        <f aca="false">C9-B9</f>
        <v>16.5789519788854</v>
      </c>
      <c r="E9" s="14" t="n">
        <f aca="false">IF(B9&lt;0.05,"new",C9/B9-1)</f>
        <v>0.0461102276600569</v>
      </c>
      <c r="F9" s="14" t="n">
        <f aca="false">B9/B$30</f>
        <v>0.117205916339021</v>
      </c>
      <c r="G9" s="14" t="n">
        <f aca="false">C9/C$30</f>
        <v>0.120600803288543</v>
      </c>
      <c r="H9" s="21" t="n">
        <f aca="false">(G9-F9)*100</f>
        <v>0.339488694952253</v>
      </c>
      <c r="I9" s="21" t="n">
        <f aca="false">D9/B$30*100</f>
        <v>0.540439148549783</v>
      </c>
      <c r="J9" s="16" t="n">
        <v>3230801.67741936</v>
      </c>
      <c r="K9" s="16" t="n">
        <v>3065291</v>
      </c>
      <c r="L9" s="14" t="n">
        <f aca="false">IF(J9&lt;1,"new",K9/J9-1)</f>
        <v>-0.0512289808984991</v>
      </c>
      <c r="M9" s="14" t="n">
        <f aca="false">IF(OR(J9&lt;1,K9&lt;1,B9&lt;=0),"n/a",(C9/K9)/(B9/J9)-1)</f>
        <v>0.10259504832972</v>
      </c>
    </row>
    <row r="10" customFormat="false" ht="15" hidden="false" customHeight="false" outlineLevel="0" collapsed="false">
      <c r="A10" s="4" t="s">
        <v>155</v>
      </c>
      <c r="B10" s="12" t="n">
        <v>235.161692872849</v>
      </c>
      <c r="C10" s="12" t="n">
        <v>239.988895647265</v>
      </c>
      <c r="D10" s="10" t="n">
        <f aca="false">C10-B10</f>
        <v>4.8272027744159</v>
      </c>
      <c r="E10" s="14" t="n">
        <f aca="false">IF(B10&lt;0.05,"new",C10/B10-1)</f>
        <v>0.0205271645880945</v>
      </c>
      <c r="F10" s="14" t="n">
        <f aca="false">B10/B$30</f>
        <v>0.0766577918975745</v>
      </c>
      <c r="G10" s="14" t="n">
        <f aca="false">C10/C$30</f>
        <v>0.0769491970636006</v>
      </c>
      <c r="H10" s="21" t="n">
        <f aca="false">(G10-F10)*100</f>
        <v>0.0291405166026146</v>
      </c>
      <c r="I10" s="21" t="n">
        <f aca="false">D10/B$30*100</f>
        <v>0.157356711124141</v>
      </c>
      <c r="J10" s="16" t="n">
        <v>767047.64516129</v>
      </c>
      <c r="K10" s="16" t="n">
        <v>781279</v>
      </c>
      <c r="L10" s="14" t="n">
        <f aca="false">IF(J10&lt;1,"new",K10/J10-1)</f>
        <v>0.0185534170249844</v>
      </c>
      <c r="M10" s="14" t="n">
        <f aca="false">IF(OR(J10&lt;1,K10&lt;1,B10&lt;=0),"n/a",(C10/K10)/(B10/J10)-1)</f>
        <v>0.00193779484720102</v>
      </c>
    </row>
    <row r="11" customFormat="false" ht="15" hidden="false" customHeight="false" outlineLevel="0" collapsed="false">
      <c r="A11" s="4" t="s">
        <v>156</v>
      </c>
      <c r="B11" s="12" t="n">
        <v>175.908654843701</v>
      </c>
      <c r="C11" s="12" t="n">
        <v>166.136177144841</v>
      </c>
      <c r="D11" s="10" t="n">
        <f aca="false">C11-B11</f>
        <v>-9.77247769886063</v>
      </c>
      <c r="E11" s="14" t="n">
        <f aca="false">IF(B11&lt;0.05,"new",C11/B11-1)</f>
        <v>-0.0555542745042515</v>
      </c>
      <c r="F11" s="14" t="n">
        <f aca="false">B11/B$30</f>
        <v>0.0573425411734976</v>
      </c>
      <c r="G11" s="14" t="n">
        <f aca="false">C11/C$30</f>
        <v>0.0532693206493253</v>
      </c>
      <c r="H11" s="21" t="n">
        <f aca="false">(G11-F11)*100</f>
        <v>-0.407322052417224</v>
      </c>
      <c r="I11" s="21" t="n">
        <f aca="false">D11/B$30*100</f>
        <v>-0.318562327312383</v>
      </c>
      <c r="J11" s="16" t="n">
        <v>745705.935483871</v>
      </c>
      <c r="K11" s="16" t="n">
        <v>694514</v>
      </c>
      <c r="L11" s="14" t="n">
        <f aca="false">IF(J11&lt;1,"new",K11/J11-1)</f>
        <v>-0.0686489580516129</v>
      </c>
      <c r="M11" s="14" t="n">
        <f aca="false">IF(OR(J11&lt;1,K11&lt;1,B11&lt;=0),"n/a",(C11/K11)/(B11/J11)-1)</f>
        <v>0.0140598796346083</v>
      </c>
    </row>
    <row r="12" customFormat="false" ht="15" hidden="false" customHeight="false" outlineLevel="0" collapsed="false">
      <c r="A12" s="4" t="s">
        <v>157</v>
      </c>
      <c r="B12" s="12" t="n">
        <v>126.951906077398</v>
      </c>
      <c r="C12" s="12" t="n">
        <v>126.153375461122</v>
      </c>
      <c r="D12" s="10" t="n">
        <f aca="false">C12-B12</f>
        <v>-0.798530616275713</v>
      </c>
      <c r="E12" s="14" t="n">
        <f aca="false">IF(B12&lt;0.05,"new",C12/B12-1)</f>
        <v>-0.00629002463175998</v>
      </c>
      <c r="F12" s="14" t="n">
        <f aca="false">B12/B$30</f>
        <v>0.0413836653333823</v>
      </c>
      <c r="G12" s="14" t="n">
        <f aca="false">C12/C$30</f>
        <v>0.040449375469706</v>
      </c>
      <c r="H12" s="21" t="n">
        <f aca="false">(G12-F12)*100</f>
        <v>-0.0934289863676267</v>
      </c>
      <c r="I12" s="21" t="n">
        <f aca="false">D12/B$30*100</f>
        <v>-0.0260304274299486</v>
      </c>
      <c r="J12" s="16" t="n">
        <v>240373.516129032</v>
      </c>
      <c r="K12" s="16" t="n">
        <v>247827</v>
      </c>
      <c r="L12" s="14" t="n">
        <f aca="false">IF(J12&lt;1,"new",K12/J12-1)</f>
        <v>0.031007924629129</v>
      </c>
      <c r="M12" s="14" t="n">
        <f aca="false">IF(OR(J12&lt;1,K12&lt;1,B12&lt;=0),"n/a",(C12/K12)/(B12/J12)-1)</f>
        <v>-0.0361762003665546</v>
      </c>
    </row>
    <row r="13" customFormat="false" ht="15" hidden="false" customHeight="false" outlineLevel="0" collapsed="false">
      <c r="A13" s="4" t="s">
        <v>158</v>
      </c>
      <c r="B13" s="12" t="n">
        <v>132.149667252286</v>
      </c>
      <c r="C13" s="12" t="n">
        <v>121.398710861906</v>
      </c>
      <c r="D13" s="10" t="n">
        <f aca="false">C13-B13</f>
        <v>-10.7509563903806</v>
      </c>
      <c r="E13" s="14" t="n">
        <f aca="false">IF(B13&lt;0.05,"new",C13/B13-1)</f>
        <v>-0.0813543962230039</v>
      </c>
      <c r="F13" s="14" t="n">
        <f aca="false">B13/B$30</f>
        <v>0.0430780267304714</v>
      </c>
      <c r="G13" s="14" t="n">
        <f aca="false">C13/C$30</f>
        <v>0.038924856502986</v>
      </c>
      <c r="H13" s="21" t="n">
        <f aca="false">(G13-F13)*100</f>
        <v>-0.415317022748538</v>
      </c>
      <c r="I13" s="21" t="n">
        <f aca="false">D13/B$30*100</f>
        <v>-0.350458685513592</v>
      </c>
      <c r="J13" s="16" t="n">
        <v>526717.612903226</v>
      </c>
      <c r="K13" s="16" t="n">
        <v>491316</v>
      </c>
      <c r="L13" s="14" t="n">
        <f aca="false">IF(J13&lt;1,"new",K13/J13-1)</f>
        <v>-0.0672117507293802</v>
      </c>
      <c r="M13" s="14" t="n">
        <f aca="false">IF(OR(J13&lt;1,K13&lt;1,B13&lt;=0),"n/a",(C13/K13)/(B13/J13)-1)</f>
        <v>-0.0151616891665201</v>
      </c>
    </row>
    <row r="14" customFormat="false" ht="15" hidden="false" customHeight="false" outlineLevel="0" collapsed="false">
      <c r="A14" s="4" t="s">
        <v>159</v>
      </c>
      <c r="B14" s="12" t="n">
        <v>91.2765166297046</v>
      </c>
      <c r="C14" s="12" t="n">
        <v>95.540565168734</v>
      </c>
      <c r="D14" s="10" t="n">
        <f aca="false">C14-B14</f>
        <v>4.26404853902939</v>
      </c>
      <c r="E14" s="14" t="n">
        <f aca="false">IF(B14&lt;0.05,"new",C14/B14-1)</f>
        <v>0.0467157237860862</v>
      </c>
      <c r="F14" s="14" t="n">
        <f aca="false">B14/B$30</f>
        <v>0.0297542347627115</v>
      </c>
      <c r="G14" s="14" t="n">
        <f aca="false">C14/C$30</f>
        <v>0.0306337914381769</v>
      </c>
      <c r="H14" s="21" t="n">
        <f aca="false">(G14-F14)*100</f>
        <v>0.0879556675465378</v>
      </c>
      <c r="I14" s="21" t="n">
        <f aca="false">D14/B$30*100</f>
        <v>0.138999061264119</v>
      </c>
      <c r="J14" s="16" t="n">
        <v>115442.290322581</v>
      </c>
      <c r="K14" s="16" t="n">
        <v>128084</v>
      </c>
      <c r="L14" s="14" t="n">
        <f aca="false">IF(J14&lt;1,"new",K14/J14-1)</f>
        <v>0.109506746982363</v>
      </c>
      <c r="M14" s="14" t="n">
        <f aca="false">IF(OR(J14&lt;1,K14&lt;1,B14&lt;=0),"n/a",(C14/K14)/(B14/J14)-1)</f>
        <v>-0.0565936379990979</v>
      </c>
    </row>
    <row r="15" customFormat="false" ht="15" hidden="false" customHeight="false" outlineLevel="0" collapsed="false">
      <c r="A15" s="4" t="s">
        <v>160</v>
      </c>
      <c r="B15" s="12" t="n">
        <v>72.3739389637621</v>
      </c>
      <c r="C15" s="12" t="n">
        <v>76.0445105790965</v>
      </c>
      <c r="D15" s="10" t="n">
        <f aca="false">C15-B15</f>
        <v>3.67057161533438</v>
      </c>
      <c r="E15" s="14" t="n">
        <f aca="false">IF(B15&lt;0.05,"new",C15/B15-1)</f>
        <v>0.0507167589313089</v>
      </c>
      <c r="F15" s="14" t="n">
        <f aca="false">B15/B$30</f>
        <v>0.0235923899173988</v>
      </c>
      <c r="G15" s="14" t="n">
        <f aca="false">C15/C$30</f>
        <v>0.0243826449318579</v>
      </c>
      <c r="H15" s="21" t="n">
        <f aca="false">(G15-F15)*100</f>
        <v>0.0790255014459115</v>
      </c>
      <c r="I15" s="21" t="n">
        <f aca="false">D15/B$30*100</f>
        <v>0.119652955205416</v>
      </c>
      <c r="J15" s="16" t="n">
        <v>284827.387096774</v>
      </c>
      <c r="K15" s="16" t="n">
        <v>319411</v>
      </c>
      <c r="L15" s="14" t="n">
        <f aca="false">IF(J15&lt;1,"new",K15/J15-1)</f>
        <v>0.121419549067013</v>
      </c>
      <c r="M15" s="14" t="n">
        <f aca="false">IF(OR(J15&lt;1,K15&lt;1,B15&lt;=0),"n/a",(C15/K15)/(B15/J15)-1)</f>
        <v>-0.0630475812505021</v>
      </c>
    </row>
    <row r="16" customFormat="false" ht="15" hidden="false" customHeight="false" outlineLevel="0" collapsed="false">
      <c r="A16" s="4" t="s">
        <v>161</v>
      </c>
      <c r="B16" s="12" t="n">
        <v>68.3068309542978</v>
      </c>
      <c r="C16" s="12" t="n">
        <v>69.383409539373</v>
      </c>
      <c r="D16" s="10" t="n">
        <f aca="false">C16-B16</f>
        <v>1.07657858507524</v>
      </c>
      <c r="E16" s="14" t="n">
        <f aca="false">IF(B16&lt;0.05,"new",C16/B16-1)</f>
        <v>0.0157609212729477</v>
      </c>
      <c r="F16" s="14" t="n">
        <f aca="false">B16/B$30</f>
        <v>0.022266597797068</v>
      </c>
      <c r="G16" s="14" t="n">
        <f aca="false">C16/C$30</f>
        <v>0.0222468528770472</v>
      </c>
      <c r="H16" s="21" t="n">
        <f aca="false">(G16-F16)*100</f>
        <v>-0.00197449200208429</v>
      </c>
      <c r="I16" s="21" t="n">
        <f aca="false">D16/B$30*100</f>
        <v>0.0350942094895981</v>
      </c>
      <c r="J16" s="16" t="n">
        <v>104096.451612903</v>
      </c>
      <c r="K16" s="16" t="n">
        <v>104671</v>
      </c>
      <c r="L16" s="14" t="n">
        <f aca="false">IF(J16&lt;1,"new",K16/J16-1)</f>
        <v>0.00551938493766668</v>
      </c>
      <c r="M16" s="14" t="n">
        <f aca="false">IF(OR(J16&lt;1,K16&lt;1,B16&lt;=0),"n/a",(C16/K16)/(B16/J16)-1)</f>
        <v>0.0101853196354995</v>
      </c>
    </row>
    <row r="17" customFormat="false" ht="15" hidden="false" customHeight="false" outlineLevel="0" collapsed="false">
      <c r="A17" s="4" t="s">
        <v>162</v>
      </c>
      <c r="B17" s="12" t="n">
        <v>63.307480863305</v>
      </c>
      <c r="C17" s="12" t="n">
        <v>69.2696325228183</v>
      </c>
      <c r="D17" s="10" t="n">
        <f aca="false">C17-B17</f>
        <v>5.96215165951325</v>
      </c>
      <c r="E17" s="14" t="n">
        <f aca="false">IF(B17&lt;0.05,"new",C17/B17-1)</f>
        <v>0.0941776797656326</v>
      </c>
      <c r="F17" s="14" t="n">
        <f aca="false">B17/B$30</f>
        <v>0.0206369142622346</v>
      </c>
      <c r="G17" s="14" t="n">
        <f aca="false">C17/C$30</f>
        <v>0.0222103718138523</v>
      </c>
      <c r="H17" s="21" t="n">
        <f aca="false">(G17-F17)*100</f>
        <v>0.157345755161772</v>
      </c>
      <c r="I17" s="21" t="n">
        <f aca="false">D17/B$30*100</f>
        <v>0.194353670273954</v>
      </c>
      <c r="J17" s="16" t="n">
        <v>146526.806451613</v>
      </c>
      <c r="K17" s="16" t="n">
        <v>147564</v>
      </c>
      <c r="L17" s="14" t="n">
        <f aca="false">IF(J17&lt;1,"new",K17/J17-1)</f>
        <v>0.00707852422027355</v>
      </c>
      <c r="M17" s="14" t="n">
        <f aca="false">IF(OR(J17&lt;1,K17&lt;1,B17&lt;=0),"n/a",(C17/K17)/(B17/J17)-1)</f>
        <v>0.0864869555358607</v>
      </c>
    </row>
    <row r="18" customFormat="false" ht="15" hidden="false" customHeight="false" outlineLevel="0" collapsed="false">
      <c r="A18" s="4" t="s">
        <v>163</v>
      </c>
      <c r="B18" s="12" t="n">
        <v>64.6689850618047</v>
      </c>
      <c r="C18" s="12" t="n">
        <v>65.9493227848169</v>
      </c>
      <c r="D18" s="10" t="n">
        <f aca="false">C18-B18</f>
        <v>1.28033772301225</v>
      </c>
      <c r="E18" s="14" t="n">
        <f aca="false">IF(B18&lt;0.05,"new",C18/B18-1)</f>
        <v>0.0197983271546418</v>
      </c>
      <c r="F18" s="14" t="n">
        <f aca="false">B18/B$30</f>
        <v>0.0210807361459828</v>
      </c>
      <c r="G18" s="14" t="n">
        <f aca="false">C18/C$30</f>
        <v>0.0211457593547942</v>
      </c>
      <c r="H18" s="21" t="n">
        <f aca="false">(G18-F18)*100</f>
        <v>0.00650232088114065</v>
      </c>
      <c r="I18" s="21" t="n">
        <f aca="false">D18/B$30*100</f>
        <v>0.0417363310878851</v>
      </c>
      <c r="J18" s="16" t="n">
        <v>230560.64516129</v>
      </c>
      <c r="K18" s="16" t="n">
        <v>236719</v>
      </c>
      <c r="L18" s="14" t="n">
        <f aca="false">IF(J18&lt;1,"new",K18/J18-1)</f>
        <v>0.0267103470082744</v>
      </c>
      <c r="M18" s="14" t="n">
        <f aca="false">IF(OR(J18&lt;1,K18&lt;1,B18&lt;=0),"n/a",(C18/K18)/(B18/J18)-1)</f>
        <v>-0.00673220044365352</v>
      </c>
    </row>
    <row r="19" customFormat="false" ht="15" hidden="false" customHeight="false" outlineLevel="0" collapsed="false">
      <c r="A19" s="4" t="s">
        <v>164</v>
      </c>
      <c r="B19" s="12" t="n">
        <v>28.6820702958976</v>
      </c>
      <c r="C19" s="12" t="n">
        <v>35.7384583061651</v>
      </c>
      <c r="D19" s="10" t="n">
        <f aca="false">C19-B19</f>
        <v>7.05638801026752</v>
      </c>
      <c r="E19" s="14" t="n">
        <f aca="false">IF(B19&lt;0.05,"new",C19/B19-1)</f>
        <v>0.246020874276875</v>
      </c>
      <c r="F19" s="14" t="n">
        <f aca="false">B19/B$30</f>
        <v>0.0093497548392091</v>
      </c>
      <c r="G19" s="14" t="n">
        <f aca="false">C19/C$30</f>
        <v>0.0114590538180249</v>
      </c>
      <c r="H19" s="21" t="n">
        <f aca="false">(G19-F19)*100</f>
        <v>0.210929897881583</v>
      </c>
      <c r="I19" s="21" t="n">
        <f aca="false">D19/B$30*100</f>
        <v>0.230023485981667</v>
      </c>
      <c r="J19" s="16" t="n">
        <v>130568.677419355</v>
      </c>
      <c r="K19" s="16" t="n">
        <v>125790</v>
      </c>
      <c r="L19" s="14" t="n">
        <f aca="false">IF(J19&lt;1,"new",K19/J19-1)</f>
        <v>-0.0365989570684465</v>
      </c>
      <c r="M19" s="14" t="n">
        <f aca="false">IF(OR(J19&lt;1,K19&lt;1,B19&lt;=0),"n/a",(C19/K19)/(B19/J19)-1)</f>
        <v>0.293356368481117</v>
      </c>
    </row>
    <row r="20" customFormat="false" ht="15" hidden="false" customHeight="false" outlineLevel="0" collapsed="false">
      <c r="A20" s="4" t="s">
        <v>165</v>
      </c>
      <c r="B20" s="12" t="n">
        <v>21.8070051510693</v>
      </c>
      <c r="C20" s="12" t="n">
        <v>33.3800317416204</v>
      </c>
      <c r="D20" s="10" t="n">
        <f aca="false">C20-B20</f>
        <v>11.5730265905512</v>
      </c>
      <c r="E20" s="14" t="n">
        <f aca="false">IF(B20&lt;0.05,"new",C20/B20-1)</f>
        <v>0.530702245006978</v>
      </c>
      <c r="F20" s="14" t="n">
        <f aca="false">B20/B$30</f>
        <v>0.00710862743994564</v>
      </c>
      <c r="G20" s="14" t="n">
        <f aca="false">C20/C$30</f>
        <v>0.0107028562031906</v>
      </c>
      <c r="H20" s="21" t="n">
        <f aca="false">(G20-F20)*100</f>
        <v>0.359422876324499</v>
      </c>
      <c r="I20" s="21" t="n">
        <f aca="false">D20/B$30*100</f>
        <v>0.377256454129736</v>
      </c>
      <c r="J20" s="16" t="n">
        <v>50835.6451612903</v>
      </c>
      <c r="K20" s="16" t="n">
        <v>96752</v>
      </c>
      <c r="L20" s="14" t="n">
        <f aca="false">IF(J20&lt;1,"new",K20/J20-1)</f>
        <v>0.903231476516668</v>
      </c>
      <c r="M20" s="14" t="n">
        <f aca="false">IF(OR(J20&lt;1,K20&lt;1,B20&lt;=0),"n/a",(C20/K20)/(B20/J20)-1)</f>
        <v>-0.195735114780416</v>
      </c>
    </row>
    <row r="21" customFormat="false" ht="15" hidden="false" customHeight="false" outlineLevel="0" collapsed="false">
      <c r="A21" s="4" t="s">
        <v>166</v>
      </c>
      <c r="B21" s="12" t="n">
        <v>37.1742223106941</v>
      </c>
      <c r="C21" s="12" t="n">
        <v>33.2122156036852</v>
      </c>
      <c r="D21" s="10" t="n">
        <f aca="false">C21-B21</f>
        <v>-3.96200670700884</v>
      </c>
      <c r="E21" s="14" t="n">
        <f aca="false">IF(B21&lt;0.05,"new",C21/B21-1)</f>
        <v>-0.106579410697425</v>
      </c>
      <c r="F21" s="14" t="n">
        <f aca="false">B21/B$30</f>
        <v>0.0121180187258993</v>
      </c>
      <c r="G21" s="14" t="n">
        <f aca="false">C21/C$30</f>
        <v>0.0106490482258107</v>
      </c>
      <c r="H21" s="21" t="n">
        <f aca="false">(G21-F21)*100</f>
        <v>-0.146897050008861</v>
      </c>
      <c r="I21" s="21" t="n">
        <f aca="false">D21/B$30*100</f>
        <v>-0.129153129462671</v>
      </c>
      <c r="J21" s="16" t="n">
        <v>181452.774193548</v>
      </c>
      <c r="K21" s="16" t="n">
        <v>165097</v>
      </c>
      <c r="L21" s="14" t="n">
        <f aca="false">IF(J21&lt;1,"new",K21/J21-1)</f>
        <v>-0.0901379120062521</v>
      </c>
      <c r="M21" s="14" t="n">
        <f aca="false">IF(OR(J21&lt;1,K21&lt;1,B21&lt;=0),"n/a",(C21/K21)/(B21/J21)-1)</f>
        <v>-0.0180703195661515</v>
      </c>
    </row>
    <row r="22" customFormat="false" ht="15" hidden="false" customHeight="false" outlineLevel="0" collapsed="false">
      <c r="A22" s="4" t="s">
        <v>167</v>
      </c>
      <c r="B22" s="12" t="n">
        <v>11.5019351879098</v>
      </c>
      <c r="C22" s="12" t="n">
        <v>15.4783861286771</v>
      </c>
      <c r="D22" s="10" t="n">
        <f aca="false">C22-B22</f>
        <v>3.9764509407673</v>
      </c>
      <c r="E22" s="14" t="n">
        <f aca="false">IF(B22&lt;0.05,"new",C22/B22-1)</f>
        <v>0.345720165850624</v>
      </c>
      <c r="F22" s="14" t="n">
        <f aca="false">B22/B$30</f>
        <v>0.00374939023138823</v>
      </c>
      <c r="G22" s="14" t="n">
        <f aca="false">C22/C$30</f>
        <v>0.0049629353942804</v>
      </c>
      <c r="H22" s="21" t="n">
        <f aca="false">(G22-F22)*100</f>
        <v>0.121354516289217</v>
      </c>
      <c r="I22" s="21" t="n">
        <f aca="false">D22/B$30*100</f>
        <v>0.129623981263425</v>
      </c>
      <c r="J22" s="16" t="n">
        <v>88347.3870967742</v>
      </c>
      <c r="K22" s="16" t="n">
        <v>220953</v>
      </c>
      <c r="L22" s="14" t="n">
        <f aca="false">IF(J22&lt;1,"new",K22/J22-1)</f>
        <v>1.50095681673044</v>
      </c>
      <c r="M22" s="14" t="n">
        <f aca="false">IF(OR(J22&lt;1,K22&lt;1,B22&lt;=0),"n/a",(C22/K22)/(B22/J22)-1)</f>
        <v>-0.461917872052698</v>
      </c>
    </row>
    <row r="23" customFormat="false" ht="15" hidden="false" customHeight="false" outlineLevel="0" collapsed="false">
      <c r="A23" s="4" t="s">
        <v>168</v>
      </c>
      <c r="B23" s="12" t="n">
        <v>15.6114130409179</v>
      </c>
      <c r="C23" s="12" t="n">
        <v>15.1121279431231</v>
      </c>
      <c r="D23" s="10" t="n">
        <f aca="false">C23-B23</f>
        <v>-0.499285097794779</v>
      </c>
      <c r="E23" s="14" t="n">
        <f aca="false">IF(B23&lt;0.05,"new",C23/B23-1)</f>
        <v>-0.0319820567482355</v>
      </c>
      <c r="F23" s="14" t="n">
        <f aca="false">B23/B$30</f>
        <v>0.00508899403426576</v>
      </c>
      <c r="G23" s="14" t="n">
        <f aca="false">C23/C$30</f>
        <v>0.00484549965534616</v>
      </c>
      <c r="H23" s="21" t="n">
        <f aca="false">(G23-F23)*100</f>
        <v>-0.0243494378919602</v>
      </c>
      <c r="I23" s="21" t="n">
        <f aca="false">D23/B$30*100</f>
        <v>-0.0162756495995319</v>
      </c>
      <c r="J23" s="16" t="n">
        <v>29629</v>
      </c>
      <c r="K23" s="16" t="n">
        <v>30345</v>
      </c>
      <c r="L23" s="14" t="n">
        <f aca="false">IF(J23&lt;1,"new",K23/J23-1)</f>
        <v>0.0241655135171623</v>
      </c>
      <c r="M23" s="14" t="n">
        <f aca="false">IF(OR(J23&lt;1,K23&lt;1,B23&lt;=0),"n/a",(C23/K23)/(B23/J23)-1)</f>
        <v>-0.0548227503507487</v>
      </c>
    </row>
    <row r="24" customFormat="false" ht="15" hidden="false" customHeight="false" outlineLevel="0" collapsed="false">
      <c r="A24" s="4" t="s">
        <v>169</v>
      </c>
      <c r="B24" s="12" t="n">
        <v>12.8127632812434</v>
      </c>
      <c r="C24" s="12" t="n">
        <v>12.2021111586002</v>
      </c>
      <c r="D24" s="10" t="n">
        <f aca="false">C24-B24</f>
        <v>-0.610652122643231</v>
      </c>
      <c r="E24" s="14" t="n">
        <f aca="false">IF(B24&lt;0.05,"new",C24/B24-1)</f>
        <v>-0.0476596741264364</v>
      </c>
      <c r="F24" s="14" t="n">
        <f aca="false">B24/B$30</f>
        <v>0.00417669276508191</v>
      </c>
      <c r="G24" s="14" t="n">
        <f aca="false">C24/C$30</f>
        <v>0.00391244208863373</v>
      </c>
      <c r="H24" s="21" t="n">
        <f aca="false">(G24-F24)*100</f>
        <v>-0.0264250676448182</v>
      </c>
      <c r="I24" s="21" t="n">
        <f aca="false">D24/B$30*100</f>
        <v>-0.0199059816110048</v>
      </c>
      <c r="J24" s="16" t="n">
        <v>6895.51612903226</v>
      </c>
      <c r="K24" s="16" t="n">
        <v>6370</v>
      </c>
      <c r="L24" s="14" t="n">
        <f aca="false">IF(J24&lt;1,"new",K24/J24-1)</f>
        <v>-0.0762112826942238</v>
      </c>
      <c r="M24" s="14" t="n">
        <f aca="false">IF(OR(J24&lt;1,K24&lt;1,B24&lt;=0),"n/a",(C24/K24)/(B24/J24)-1)</f>
        <v>0.0309070765131858</v>
      </c>
    </row>
    <row r="25" customFormat="false" ht="15" hidden="false" customHeight="false" outlineLevel="0" collapsed="false">
      <c r="A25" s="4" t="s">
        <v>170</v>
      </c>
      <c r="B25" s="12" t="n">
        <v>7.62045868017771</v>
      </c>
      <c r="C25" s="12" t="n">
        <v>7.16837132865192</v>
      </c>
      <c r="D25" s="10" t="n">
        <f aca="false">C25-B25</f>
        <v>-0.45208735152579</v>
      </c>
      <c r="E25" s="14" t="n">
        <f aca="false">IF(B25&lt;0.05,"new",C25/B25-1)</f>
        <v>-0.0593254777040858</v>
      </c>
      <c r="F25" s="14" t="n">
        <f aca="false">B25/B$30</f>
        <v>0.00248411009689825</v>
      </c>
      <c r="G25" s="14" t="n">
        <f aca="false">C25/C$30</f>
        <v>0.00229844141957402</v>
      </c>
      <c r="H25" s="21" t="n">
        <f aca="false">(G25-F25)*100</f>
        <v>-0.0185668677324222</v>
      </c>
      <c r="I25" s="21" t="n">
        <f aca="false">D25/B$30*100</f>
        <v>-0.0147371018168031</v>
      </c>
      <c r="J25" s="16" t="n">
        <v>1078116.09677419</v>
      </c>
      <c r="K25" s="16" t="n">
        <v>1104152</v>
      </c>
      <c r="L25" s="14" t="n">
        <f aca="false">IF(J25&lt;1,"new",K25/J25-1)</f>
        <v>0.0241494429994213</v>
      </c>
      <c r="M25" s="14" t="n">
        <f aca="false">IF(OR(J25&lt;1,K25&lt;1,B25&lt;=0),"n/a",(C25/K25)/(B25/J25)-1)</f>
        <v>-0.0815065821439444</v>
      </c>
    </row>
    <row r="26" customFormat="false" ht="15" hidden="false" customHeight="false" outlineLevel="0" collapsed="false">
      <c r="A26" s="4" t="s">
        <v>171</v>
      </c>
      <c r="B26" s="12" t="n">
        <v>6.04919686744056</v>
      </c>
      <c r="C26" s="12" t="n">
        <v>6.18317868700065</v>
      </c>
      <c r="D26" s="10" t="n">
        <f aca="false">C26-B26</f>
        <v>0.133981819560091</v>
      </c>
      <c r="E26" s="14" t="n">
        <f aca="false">IF(B26&lt;0.05,"new",C26/B26-1)</f>
        <v>0.022148695520432</v>
      </c>
      <c r="F26" s="14" t="n">
        <f aca="false">B26/B$30</f>
        <v>0.00197191161939138</v>
      </c>
      <c r="G26" s="14" t="n">
        <f aca="false">C26/C$30</f>
        <v>0.00198255270929195</v>
      </c>
      <c r="H26" s="21" t="n">
        <f aca="false">(G26-F26)*100</f>
        <v>0.00106410899005723</v>
      </c>
      <c r="I26" s="21" t="n">
        <f aca="false">D26/B$30*100</f>
        <v>0.00436752700511015</v>
      </c>
      <c r="J26" s="16" t="n">
        <v>2320584.16129032</v>
      </c>
      <c r="K26" s="16" t="n">
        <v>2252522</v>
      </c>
      <c r="L26" s="14" t="n">
        <f aca="false">IF(J26&lt;1,"new",K26/J26-1)</f>
        <v>-0.029329753441253</v>
      </c>
      <c r="M26" s="14" t="n">
        <f aca="false">IF(OR(J26&lt;1,K26&lt;1,B26&lt;=0),"n/a",(C26/K26)/(B26/J26)-1)</f>
        <v>0.0530339207822512</v>
      </c>
    </row>
    <row r="27" customFormat="false" ht="15" hidden="false" customHeight="false" outlineLevel="0" collapsed="false">
      <c r="A27" s="4" t="s">
        <v>172</v>
      </c>
      <c r="B27" s="12" t="n">
        <v>0</v>
      </c>
      <c r="C27" s="12" t="n">
        <v>0.497253871751566</v>
      </c>
      <c r="D27" s="10" t="n">
        <f aca="false">C27-B27</f>
        <v>0.497253871751566</v>
      </c>
      <c r="E27" s="14" t="str">
        <f aca="false">IF(B27&lt;0.05,"new",C27/B27-1)</f>
        <v>new</v>
      </c>
      <c r="F27" s="14" t="n">
        <f aca="false">B27/B$30</f>
        <v>0</v>
      </c>
      <c r="G27" s="14" t="n">
        <f aca="false">C27/C$30</f>
        <v>0.000159437735920453</v>
      </c>
      <c r="H27" s="21" t="n">
        <f aca="false">(G27-F27)*100</f>
        <v>0.0159437735920453</v>
      </c>
      <c r="I27" s="21" t="n">
        <f aca="false">D27/B$30*100</f>
        <v>0.0162094358801904</v>
      </c>
      <c r="J27" s="16" t="n">
        <v>0</v>
      </c>
      <c r="K27" s="16" t="n">
        <v>1840</v>
      </c>
      <c r="L27" s="14" t="str">
        <f aca="false">IF(J27&lt;1,"new",K27/J27-1)</f>
        <v>new</v>
      </c>
      <c r="M27" s="14" t="str">
        <f aca="false">IF(OR(J27&lt;1,K27&lt;1,B27&lt;=0),"n/a",(C27/K27)/(B27/J27)-1)</f>
        <v>n/a</v>
      </c>
    </row>
    <row r="28" customFormat="false" ht="15" hidden="false" customHeight="false" outlineLevel="0" collapsed="false">
      <c r="A28" s="4" t="s">
        <v>173</v>
      </c>
      <c r="B28" s="12" t="n">
        <v>0.442015304295191</v>
      </c>
      <c r="C28" s="12" t="n">
        <v>0.210627503489437</v>
      </c>
      <c r="D28" s="10" t="n">
        <f aca="false">C28-B28</f>
        <v>-0.231387800805754</v>
      </c>
      <c r="E28" s="14" t="n">
        <f aca="false">IF(B28&lt;0.05,"new",C28/B28-1)</f>
        <v>-0.523483686101571</v>
      </c>
      <c r="F28" s="14" t="n">
        <f aca="false">B28/B$30</f>
        <v>0.00014408774149506</v>
      </c>
      <c r="G28" s="14" t="n">
        <f aca="false">C28/C$30</f>
        <v>6.75348633498644E-005</v>
      </c>
      <c r="H28" s="21" t="n">
        <f aca="false">(G28-F28)*100</f>
        <v>-0.00765528781451958</v>
      </c>
      <c r="I28" s="21" t="n">
        <f aca="false">D28/B$30*100</f>
        <v>-0.00754275820398844</v>
      </c>
      <c r="J28" s="16" t="n">
        <v>783.903225806452</v>
      </c>
      <c r="K28" s="16" t="n">
        <v>368</v>
      </c>
      <c r="L28" s="14" t="n">
        <f aca="false">IF(J28&lt;1,"new",K28/J28-1)</f>
        <v>-0.53055429817703</v>
      </c>
      <c r="M28" s="14" t="n">
        <f aca="false">IF(OR(J28&lt;1,K28&lt;1,B28&lt;=0),"n/a",(C28/K28)/(B28/J28)-1)</f>
        <v>0.015061618517332</v>
      </c>
    </row>
    <row r="29" customFormat="false" ht="15" hidden="false" customHeight="false" outlineLevel="0" collapsed="false">
      <c r="A29" s="4" t="s">
        <v>174</v>
      </c>
      <c r="B29" s="12" t="n">
        <v>0.0403206734401264</v>
      </c>
      <c r="C29" s="12" t="n">
        <v>0.258534536720372</v>
      </c>
      <c r="D29" s="10" t="n">
        <f aca="false">C29-B29</f>
        <v>0.218213863280246</v>
      </c>
      <c r="E29" s="14" t="str">
        <f aca="false">IF(B29&lt;0.05,"new",C29/B29-1)</f>
        <v>new</v>
      </c>
      <c r="F29" s="14" t="n">
        <f aca="false">B29/B$30</f>
        <v>1.31436959650333E-005</v>
      </c>
      <c r="G29" s="14" t="n">
        <f aca="false">C29/C$30</f>
        <v>8.28956063162306E-005</v>
      </c>
      <c r="H29" s="21" t="n">
        <f aca="false">(G29-F29)*100</f>
        <v>0.00697519103511973</v>
      </c>
      <c r="I29" s="21" t="n">
        <f aca="false">D29/B$30*100</f>
        <v>0.00711331540275461</v>
      </c>
      <c r="J29" s="16" t="n">
        <v>20048.4193548387</v>
      </c>
      <c r="K29" s="16" t="n">
        <v>11282</v>
      </c>
      <c r="L29" s="14" t="n">
        <f aca="false">IF(J29&lt;1,"new",K29/J29-1)</f>
        <v>-0.43726236965025</v>
      </c>
      <c r="M29" s="14" t="n">
        <f aca="false">IF(OR(J29&lt;1,K29&lt;1,B29&lt;=0),"n/a",(C29/K29)/(B29/J29)-1)</f>
        <v>10.3942260871118</v>
      </c>
    </row>
    <row r="30" customFormat="false" ht="15" hidden="false" customHeight="false" outlineLevel="0" collapsed="false">
      <c r="A30" s="7" t="s">
        <v>84</v>
      </c>
      <c r="B30" s="13" t="n">
        <f aca="false">SUM(B6:B29)</f>
        <v>3067.68153701919</v>
      </c>
      <c r="C30" s="13" t="n">
        <f aca="false">SUM(C6:C29)</f>
        <v>3118.796619137</v>
      </c>
      <c r="D30" s="13" t="n">
        <f aca="false">SUM(D6:D29)</f>
        <v>51.1150821178099</v>
      </c>
      <c r="E30" s="19" t="n">
        <f aca="false">C30/B30-1</f>
        <v>0.0166624473567349</v>
      </c>
      <c r="I30" s="22" t="n">
        <f aca="false">SUM(I6:I29)</f>
        <v>1.66624473567349</v>
      </c>
      <c r="J30" s="23" t="n">
        <f aca="false">SUM(J6:J29)</f>
        <v>14014021.5483871</v>
      </c>
      <c r="K30" s="23" t="n">
        <f aca="false">SUM(K6:K29)</f>
        <v>13912236</v>
      </c>
      <c r="L30" s="19" t="n">
        <f aca="false">K30/J30-1</f>
        <v>-0.00726312201216861</v>
      </c>
      <c r="M30" s="19" t="n">
        <f aca="false">(C30/K30)/(B30/J30)-1</f>
        <v>0.0241006150767744</v>
      </c>
    </row>
    <row r="33" customFormat="false" ht="15" hidden="false" customHeight="false" outlineLevel="0" collapsed="false">
      <c r="A33" s="7" t="s">
        <v>175</v>
      </c>
    </row>
    <row r="34" customFormat="false" ht="39.75" hidden="false" customHeight="true" outlineLevel="0" collapsed="false">
      <c r="A34" s="3" t="s">
        <v>142</v>
      </c>
      <c r="B34" s="3" t="s">
        <v>116</v>
      </c>
      <c r="C34" s="3" t="s">
        <v>117</v>
      </c>
      <c r="D34" s="3" t="s">
        <v>118</v>
      </c>
      <c r="E34" s="3" t="s">
        <v>119</v>
      </c>
      <c r="F34" s="3" t="s">
        <v>143</v>
      </c>
      <c r="G34" s="3" t="s">
        <v>144</v>
      </c>
      <c r="H34" s="3" t="s">
        <v>145</v>
      </c>
      <c r="I34" s="3" t="s">
        <v>146</v>
      </c>
      <c r="J34" s="3" t="s">
        <v>147</v>
      </c>
      <c r="K34" s="3" t="s">
        <v>148</v>
      </c>
      <c r="L34" s="3" t="s">
        <v>149</v>
      </c>
      <c r="M34" s="3" t="s">
        <v>150</v>
      </c>
    </row>
    <row r="35" customFormat="false" ht="15" hidden="false" customHeight="false" outlineLevel="0" collapsed="false">
      <c r="A35" s="4" t="s">
        <v>151</v>
      </c>
      <c r="B35" s="12" t="n">
        <v>606.972515516074</v>
      </c>
      <c r="C35" s="12" t="n">
        <v>642.02015882401</v>
      </c>
      <c r="D35" s="10" t="n">
        <f aca="false">C35-B35</f>
        <v>35.0476433079369</v>
      </c>
      <c r="E35" s="14" t="n">
        <f aca="false">IF(B35&lt;0.05,"new",C35/B35-1)</f>
        <v>0.0577417303288239</v>
      </c>
      <c r="F35" s="14" t="n">
        <f aca="false">B35/B$60</f>
        <v>0.182956092805404</v>
      </c>
      <c r="G35" s="14" t="n">
        <f aca="false">C35/C$60</f>
        <v>0.183992074051166</v>
      </c>
      <c r="H35" s="21" t="n">
        <f aca="false">(G35-F35)*100</f>
        <v>0.103598124576212</v>
      </c>
      <c r="I35" s="21" t="n">
        <f aca="false">D35/B$60*100</f>
        <v>1.05642013727849</v>
      </c>
      <c r="J35" s="16" t="n">
        <v>1991147.32258065</v>
      </c>
      <c r="K35" s="16" t="n">
        <v>2056321</v>
      </c>
      <c r="L35" s="14" t="n">
        <f aca="false">IF(J35&lt;1,"new",K35/J35-1)</f>
        <v>0.032731720390677</v>
      </c>
      <c r="M35" s="14" t="n">
        <f aca="false">IF(OR(J35&lt;1,K35&lt;1,B35&lt;=0),"n/a",(C35/K35)/(B35/J35)-1)</f>
        <v>0.0242173349034789</v>
      </c>
    </row>
    <row r="36" customFormat="false" ht="15" hidden="false" customHeight="false" outlineLevel="0" collapsed="false">
      <c r="A36" s="4" t="s">
        <v>152</v>
      </c>
      <c r="B36" s="12" t="n">
        <v>524.981295937069</v>
      </c>
      <c r="C36" s="12" t="n">
        <v>555.924694709664</v>
      </c>
      <c r="D36" s="10" t="n">
        <f aca="false">C36-B36</f>
        <v>30.9433987725948</v>
      </c>
      <c r="E36" s="14" t="n">
        <f aca="false">IF(B36&lt;0.05,"new",C36/B36-1)</f>
        <v>0.0589419070966371</v>
      </c>
      <c r="F36" s="14" t="n">
        <f aca="false">B36/B$60</f>
        <v>0.158241970180313</v>
      </c>
      <c r="G36" s="14" t="n">
        <f aca="false">C36/C$60</f>
        <v>0.15931857620055</v>
      </c>
      <c r="H36" s="21" t="n">
        <f aca="false">(G36-F36)*100</f>
        <v>0.107660602023776</v>
      </c>
      <c r="I36" s="21" t="n">
        <f aca="false">D36/B$60*100</f>
        <v>0.932708350515679</v>
      </c>
      <c r="J36" s="16" t="n">
        <v>967070.64516129</v>
      </c>
      <c r="K36" s="16" t="n">
        <v>987959</v>
      </c>
      <c r="L36" s="14" t="n">
        <f aca="false">IF(J36&lt;1,"new",K36/J36-1)</f>
        <v>0.0215996162671506</v>
      </c>
      <c r="M36" s="14" t="n">
        <f aca="false">IF(OR(J36&lt;1,K36&lt;1,B36&lt;=0),"n/a",(C36/K36)/(B36/J36)-1)</f>
        <v>0.0365527651291924</v>
      </c>
    </row>
    <row r="37" customFormat="false" ht="15" hidden="false" customHeight="false" outlineLevel="0" collapsed="false">
      <c r="A37" s="4" t="s">
        <v>153</v>
      </c>
      <c r="B37" s="12" t="n">
        <v>517.64849605941</v>
      </c>
      <c r="C37" s="12" t="n">
        <v>532.532170441746</v>
      </c>
      <c r="D37" s="10" t="n">
        <f aca="false">C37-B37</f>
        <v>14.8836743823362</v>
      </c>
      <c r="E37" s="14" t="n">
        <f aca="false">IF(B37&lt;0.05,"new",C37/B37-1)</f>
        <v>0.0287524729534383</v>
      </c>
      <c r="F37" s="14" t="n">
        <f aca="false">B37/B$60</f>
        <v>0.156031688197775</v>
      </c>
      <c r="G37" s="14" t="n">
        <f aca="false">C37/C$60</f>
        <v>0.152614676022042</v>
      </c>
      <c r="H37" s="21" t="n">
        <f aca="false">(G37-F37)*100</f>
        <v>-0.341701217573367</v>
      </c>
      <c r="I37" s="21" t="n">
        <f aca="false">D37/B$60*100</f>
        <v>0.448629689478584</v>
      </c>
      <c r="J37" s="16" t="n">
        <v>1043808.22580645</v>
      </c>
      <c r="K37" s="16" t="n">
        <v>1056742</v>
      </c>
      <c r="L37" s="14" t="n">
        <f aca="false">IF(J37&lt;1,"new",K37/J37-1)</f>
        <v>0.0123909487143152</v>
      </c>
      <c r="M37" s="14" t="n">
        <f aca="false">IF(OR(J37&lt;1,K37&lt;1,B37&lt;=0),"n/a",(C37/K37)/(B37/J37)-1)</f>
        <v>0.0161612707619536</v>
      </c>
    </row>
    <row r="38" customFormat="false" ht="15" hidden="false" customHeight="false" outlineLevel="0" collapsed="false">
      <c r="A38" s="4" t="s">
        <v>154</v>
      </c>
      <c r="B38" s="12" t="n">
        <v>395.093450214729</v>
      </c>
      <c r="C38" s="12" t="n">
        <v>422.093925242057</v>
      </c>
      <c r="D38" s="10" t="n">
        <f aca="false">C38-B38</f>
        <v>27.0004750273279</v>
      </c>
      <c r="E38" s="14" t="n">
        <f aca="false">IF(B38&lt;0.05,"new",C38/B38-1)</f>
        <v>0.0683394650370779</v>
      </c>
      <c r="F38" s="14" t="n">
        <f aca="false">B38/B$60</f>
        <v>0.119090654183631</v>
      </c>
      <c r="G38" s="14" t="n">
        <f aca="false">C38/C$60</f>
        <v>0.120964950527313</v>
      </c>
      <c r="H38" s="21" t="n">
        <f aca="false">(G38-F38)*100</f>
        <v>0.187429634368191</v>
      </c>
      <c r="I38" s="21" t="n">
        <f aca="false">D38/B$60*100</f>
        <v>0.813859159782498</v>
      </c>
      <c r="J38" s="16" t="n">
        <v>3512210.74193548</v>
      </c>
      <c r="K38" s="16" t="n">
        <v>3413253</v>
      </c>
      <c r="L38" s="14" t="n">
        <f aca="false">IF(J38&lt;1,"new",K38/J38-1)</f>
        <v>-0.0281753428841662</v>
      </c>
      <c r="M38" s="14" t="n">
        <f aca="false">IF(OR(J38&lt;1,K38&lt;1,B38&lt;=0),"n/a",(C38/K38)/(B38/J38)-1)</f>
        <v>0.0993129853359343</v>
      </c>
    </row>
    <row r="39" customFormat="false" ht="15" hidden="false" customHeight="false" outlineLevel="0" collapsed="false">
      <c r="A39" s="4" t="s">
        <v>155</v>
      </c>
      <c r="B39" s="12" t="n">
        <v>265.369029778278</v>
      </c>
      <c r="C39" s="12" t="n">
        <v>277.625966120363</v>
      </c>
      <c r="D39" s="10" t="n">
        <f aca="false">C39-B39</f>
        <v>12.2569363420842</v>
      </c>
      <c r="E39" s="14" t="n">
        <f aca="false">IF(B39&lt;0.05,"new",C39/B39-1)</f>
        <v>0.0461882697929188</v>
      </c>
      <c r="F39" s="14" t="n">
        <f aca="false">B39/B$60</f>
        <v>0.0799885984928243</v>
      </c>
      <c r="G39" s="14" t="n">
        <f aca="false">C39/C$60</f>
        <v>0.0795628869512594</v>
      </c>
      <c r="H39" s="21" t="n">
        <f aca="false">(G39-F39)*100</f>
        <v>-0.0425711541564913</v>
      </c>
      <c r="I39" s="21" t="n">
        <f aca="false">D39/B$60*100</f>
        <v>0.369453496754402</v>
      </c>
      <c r="J39" s="16" t="n">
        <v>844938.741935484</v>
      </c>
      <c r="K39" s="16" t="n">
        <v>882157</v>
      </c>
      <c r="L39" s="14" t="n">
        <f aca="false">IF(J39&lt;1,"new",K39/J39-1)</f>
        <v>0.0440484690987906</v>
      </c>
      <c r="M39" s="14" t="n">
        <f aca="false">IF(OR(J39&lt;1,K39&lt;1,B39&lt;=0),"n/a",(C39/K39)/(B39/J39)-1)</f>
        <v>0.00204952237128908</v>
      </c>
    </row>
    <row r="40" customFormat="false" ht="15" hidden="false" customHeight="false" outlineLevel="0" collapsed="false">
      <c r="A40" s="4" t="s">
        <v>156</v>
      </c>
      <c r="B40" s="12" t="n">
        <v>195.882637082652</v>
      </c>
      <c r="C40" s="12" t="n">
        <v>190.244997907338</v>
      </c>
      <c r="D40" s="10" t="n">
        <f aca="false">C40-B40</f>
        <v>-5.63763917531441</v>
      </c>
      <c r="E40" s="14" t="n">
        <f aca="false">IF(B40&lt;0.05,"new",C40/B40-1)</f>
        <v>-0.0287806987861594</v>
      </c>
      <c r="F40" s="14" t="n">
        <f aca="false">B40/B$60</f>
        <v>0.0590437309975892</v>
      </c>
      <c r="G40" s="14" t="n">
        <f aca="false">C40/C$60</f>
        <v>0.0545209854577573</v>
      </c>
      <c r="H40" s="21" t="n">
        <f aca="false">(G40-F40)*100</f>
        <v>-0.452274553983186</v>
      </c>
      <c r="I40" s="21" t="n">
        <f aca="false">D40/B$60*100</f>
        <v>-0.169931983705264</v>
      </c>
      <c r="J40" s="16" t="n">
        <v>810415.387096774</v>
      </c>
      <c r="K40" s="16" t="n">
        <v>781066</v>
      </c>
      <c r="L40" s="14" t="n">
        <f aca="false">IF(J40&lt;1,"new",K40/J40-1)</f>
        <v>-0.0362152392021026</v>
      </c>
      <c r="M40" s="14" t="n">
        <f aca="false">IF(OR(J40&lt;1,K40&lt;1,B40&lt;=0),"n/a",(C40/K40)/(B40/J40)-1)</f>
        <v>0.00771390119282245</v>
      </c>
    </row>
    <row r="41" customFormat="false" ht="15" hidden="false" customHeight="false" outlineLevel="0" collapsed="false">
      <c r="A41" s="4" t="s">
        <v>157</v>
      </c>
      <c r="B41" s="12" t="n">
        <v>136.182021604801</v>
      </c>
      <c r="C41" s="12" t="n">
        <v>139.55374684392</v>
      </c>
      <c r="D41" s="10" t="n">
        <f aca="false">C41-B41</f>
        <v>3.37172523911951</v>
      </c>
      <c r="E41" s="14" t="n">
        <f aca="false">IF(B41&lt;0.05,"new",C41/B41-1)</f>
        <v>0.0247589600990374</v>
      </c>
      <c r="F41" s="14" t="n">
        <f aca="false">B41/B$60</f>
        <v>0.0410485317641959</v>
      </c>
      <c r="G41" s="14" t="n">
        <f aca="false">C41/C$60</f>
        <v>0.0399937337956124</v>
      </c>
      <c r="H41" s="21" t="n">
        <f aca="false">(G41-F41)*100</f>
        <v>-0.105479796858354</v>
      </c>
      <c r="I41" s="21" t="n">
        <f aca="false">D41/B$60*100</f>
        <v>0.10163189600738</v>
      </c>
      <c r="J41" s="16" t="n">
        <v>260356.903225807</v>
      </c>
      <c r="K41" s="16" t="n">
        <v>278120</v>
      </c>
      <c r="L41" s="14" t="n">
        <f aca="false">IF(J41&lt;1,"new",K41/J41-1)</f>
        <v>0.0682259488959569</v>
      </c>
      <c r="M41" s="14" t="n">
        <f aca="false">IF(OR(J41&lt;1,K41&lt;1,B41&lt;=0),"n/a",(C41/K41)/(B41/J41)-1)</f>
        <v>-0.040690819055504</v>
      </c>
    </row>
    <row r="42" customFormat="false" ht="15" hidden="false" customHeight="false" outlineLevel="0" collapsed="false">
      <c r="A42" s="4" t="s">
        <v>158</v>
      </c>
      <c r="B42" s="12" t="n">
        <v>141.563551075844</v>
      </c>
      <c r="C42" s="12" t="n">
        <v>134.244964468204</v>
      </c>
      <c r="D42" s="10" t="n">
        <f aca="false">C42-B42</f>
        <v>-7.31858660763979</v>
      </c>
      <c r="E42" s="14" t="n">
        <f aca="false">IF(B42&lt;0.05,"new",C42/B42-1)</f>
        <v>-0.0516982411928817</v>
      </c>
      <c r="F42" s="14" t="n">
        <f aca="false">B42/B$60</f>
        <v>0.042670653985829</v>
      </c>
      <c r="G42" s="14" t="n">
        <f aca="false">C42/C$60</f>
        <v>0.0384723269261093</v>
      </c>
      <c r="H42" s="21" t="n">
        <f aca="false">(G42-F42)*100</f>
        <v>-0.419832705971974</v>
      </c>
      <c r="I42" s="21" t="n">
        <f aca="false">D42/B$60*100</f>
        <v>-0.220599776161739</v>
      </c>
      <c r="J42" s="16" t="n">
        <v>563281.290322581</v>
      </c>
      <c r="K42" s="16" t="n">
        <v>542139</v>
      </c>
      <c r="L42" s="14" t="n">
        <f aca="false">IF(J42&lt;1,"new",K42/J42-1)</f>
        <v>-0.0375341604378033</v>
      </c>
      <c r="M42" s="14" t="n">
        <f aca="false">IF(OR(J42&lt;1,K42&lt;1,B42&lt;=0),"n/a",(C42/K42)/(B42/J42)-1)</f>
        <v>-0.0147164503641203</v>
      </c>
    </row>
    <row r="43" customFormat="false" ht="15" hidden="false" customHeight="false" outlineLevel="0" collapsed="false">
      <c r="A43" s="4" t="s">
        <v>159</v>
      </c>
      <c r="B43" s="12" t="n">
        <v>94.6810078520155</v>
      </c>
      <c r="C43" s="12" t="n">
        <v>107.342809722918</v>
      </c>
      <c r="D43" s="10" t="n">
        <f aca="false">C43-B43</f>
        <v>12.6618018709023</v>
      </c>
      <c r="E43" s="14" t="n">
        <f aca="false">IF(B43&lt;0.05,"new",C43/B43-1)</f>
        <v>0.133731169092459</v>
      </c>
      <c r="F43" s="14" t="n">
        <f aca="false">B43/B$60</f>
        <v>0.0285391295596873</v>
      </c>
      <c r="G43" s="14" t="n">
        <f aca="false">C43/C$60</f>
        <v>0.0307626262570569</v>
      </c>
      <c r="H43" s="21" t="n">
        <f aca="false">(G43-F43)*100</f>
        <v>0.222349669736957</v>
      </c>
      <c r="I43" s="21" t="n">
        <f aca="false">D43/B$60*100</f>
        <v>0.381657116089814</v>
      </c>
      <c r="J43" s="16" t="n">
        <v>119687.580645161</v>
      </c>
      <c r="K43" s="16" t="n">
        <v>143186</v>
      </c>
      <c r="L43" s="14" t="n">
        <f aca="false">IF(J43&lt;1,"new",K43/J43-1)</f>
        <v>0.196331308797231</v>
      </c>
      <c r="M43" s="14" t="n">
        <f aca="false">IF(OR(J43&lt;1,K43&lt;1,B43&lt;=0),"n/a",(C43/K43)/(B43/J43)-1)</f>
        <v>-0.0523267586866966</v>
      </c>
    </row>
    <row r="44" customFormat="false" ht="15" hidden="false" customHeight="false" outlineLevel="0" collapsed="false">
      <c r="A44" s="4" t="s">
        <v>160</v>
      </c>
      <c r="B44" s="12" t="n">
        <v>77.1157311965824</v>
      </c>
      <c r="C44" s="12" t="n">
        <v>84.0166958665159</v>
      </c>
      <c r="D44" s="10" t="n">
        <f aca="false">C44-B44</f>
        <v>6.90096466993354</v>
      </c>
      <c r="E44" s="14" t="n">
        <f aca="false">IF(B44&lt;0.05,"new",C44/B44-1)</f>
        <v>0.0894884164729204</v>
      </c>
      <c r="F44" s="14" t="n">
        <f aca="false">B44/B$60</f>
        <v>0.023244533340299</v>
      </c>
      <c r="G44" s="14" t="n">
        <f aca="false">C44/C$60</f>
        <v>0.0240777581746366</v>
      </c>
      <c r="H44" s="21" t="n">
        <f aca="false">(G44-F44)*100</f>
        <v>0.0833224834337606</v>
      </c>
      <c r="I44" s="21" t="n">
        <f aca="false">D44/B$60*100</f>
        <v>0.208011648027536</v>
      </c>
      <c r="J44" s="16" t="n">
        <v>302465.548387097</v>
      </c>
      <c r="K44" s="16" t="n">
        <v>351836</v>
      </c>
      <c r="L44" s="14" t="n">
        <f aca="false">IF(J44&lt;1,"new",K44/J44-1)</f>
        <v>0.163226694333196</v>
      </c>
      <c r="M44" s="14" t="n">
        <f aca="false">IF(OR(J44&lt;1,K44&lt;1,B44&lt;=0),"n/a",(C44/K44)/(B44/J44)-1)</f>
        <v>-0.0633911499963861</v>
      </c>
    </row>
    <row r="45" customFormat="false" ht="15" hidden="false" customHeight="false" outlineLevel="0" collapsed="false">
      <c r="A45" s="4" t="s">
        <v>162</v>
      </c>
      <c r="B45" s="12" t="n">
        <v>69.1244307379513</v>
      </c>
      <c r="C45" s="12" t="n">
        <v>77.2233353459496</v>
      </c>
      <c r="D45" s="10" t="n">
        <f aca="false">C45-B45</f>
        <v>8.09890460799824</v>
      </c>
      <c r="E45" s="14" t="n">
        <f aca="false">IF(B45&lt;0.05,"new",C45/B45-1)</f>
        <v>0.117164141845897</v>
      </c>
      <c r="F45" s="14" t="n">
        <f aca="false">B45/B$60</f>
        <v>0.0208357634685659</v>
      </c>
      <c r="G45" s="14" t="n">
        <f aca="false">C45/C$60</f>
        <v>0.0221308964215013</v>
      </c>
      <c r="H45" s="21" t="n">
        <f aca="false">(G45-F45)*100</f>
        <v>0.129513295293541</v>
      </c>
      <c r="I45" s="21" t="n">
        <f aca="false">D45/B$60*100</f>
        <v>0.244120434649862</v>
      </c>
      <c r="J45" s="16" t="n">
        <v>159005.096774194</v>
      </c>
      <c r="K45" s="16" t="n">
        <v>163775</v>
      </c>
      <c r="L45" s="14" t="n">
        <f aca="false">IF(J45&lt;1,"new",K45/J45-1)</f>
        <v>0.0299984297521001</v>
      </c>
      <c r="M45" s="14" t="n">
        <f aca="false">IF(OR(J45&lt;1,K45&lt;1,B45&lt;=0),"n/a",(C45/K45)/(B45/J45)-1)</f>
        <v>0.0846270339604074</v>
      </c>
    </row>
    <row r="46" customFormat="false" ht="15" hidden="false" customHeight="false" outlineLevel="0" collapsed="false">
      <c r="A46" s="4" t="s">
        <v>161</v>
      </c>
      <c r="B46" s="12" t="n">
        <v>70.6632616394466</v>
      </c>
      <c r="C46" s="12" t="n">
        <v>76.1142954788412</v>
      </c>
      <c r="D46" s="10" t="n">
        <f aca="false">C46-B46</f>
        <v>5.45103383939461</v>
      </c>
      <c r="E46" s="14" t="n">
        <f aca="false">IF(B46&lt;0.05,"new",C46/B46-1)</f>
        <v>0.0771409883003711</v>
      </c>
      <c r="F46" s="14" t="n">
        <f aca="false">B46/B$60</f>
        <v>0.0212996040577669</v>
      </c>
      <c r="G46" s="14" t="n">
        <f aca="false">C46/C$60</f>
        <v>0.0218130644304803</v>
      </c>
      <c r="H46" s="21" t="n">
        <f aca="false">(G46-F46)*100</f>
        <v>0.051346037271334</v>
      </c>
      <c r="I46" s="21" t="n">
        <f aca="false">D46/B$60*100</f>
        <v>0.164307250742273</v>
      </c>
      <c r="J46" s="16" t="n">
        <v>107746.838709677</v>
      </c>
      <c r="K46" s="16" t="n">
        <v>114844</v>
      </c>
      <c r="L46" s="14" t="n">
        <f aca="false">IF(J46&lt;1,"new",K46/J46-1)</f>
        <v>0.0658688586627199</v>
      </c>
      <c r="M46" s="14" t="n">
        <f aca="false">IF(OR(J46&lt;1,K46&lt;1,B46&lt;=0),"n/a",(C46/K46)/(B46/J46)-1)</f>
        <v>0.0105755314512086</v>
      </c>
    </row>
    <row r="47" customFormat="false" ht="15" hidden="false" customHeight="false" outlineLevel="0" collapsed="false">
      <c r="A47" s="4" t="s">
        <v>163</v>
      </c>
      <c r="B47" s="12" t="n">
        <v>68.8661348023723</v>
      </c>
      <c r="C47" s="12" t="n">
        <v>72.766181386426</v>
      </c>
      <c r="D47" s="10" t="n">
        <f aca="false">C47-B47</f>
        <v>3.90004658405368</v>
      </c>
      <c r="E47" s="14" t="n">
        <f aca="false">IF(B47&lt;0.05,"new",C47/B47-1)</f>
        <v>0.0566322851608529</v>
      </c>
      <c r="F47" s="14" t="n">
        <f aca="false">B47/B$60</f>
        <v>0.0207579068705272</v>
      </c>
      <c r="G47" s="14" t="n">
        <f aca="false">C47/C$60</f>
        <v>0.0208535517928214</v>
      </c>
      <c r="H47" s="21" t="n">
        <f aca="false">(G47-F47)*100</f>
        <v>0.00956449222941115</v>
      </c>
      <c r="I47" s="21" t="n">
        <f aca="false">D47/B$60*100</f>
        <v>0.117556770123413</v>
      </c>
      <c r="J47" s="16" t="n">
        <v>245056.806451613</v>
      </c>
      <c r="K47" s="16" t="n">
        <v>260938</v>
      </c>
      <c r="L47" s="14" t="n">
        <f aca="false">IF(J47&lt;1,"new",K47/J47-1)</f>
        <v>0.0648061719988295</v>
      </c>
      <c r="M47" s="14" t="n">
        <f aca="false">IF(OR(J47&lt;1,K47&lt;1,B47&lt;=0),"n/a",(C47/K47)/(B47/J47)-1)</f>
        <v>-0.00767640820735727</v>
      </c>
    </row>
    <row r="48" customFormat="false" ht="15" hidden="false" customHeight="false" outlineLevel="0" collapsed="false">
      <c r="A48" s="4" t="s">
        <v>164</v>
      </c>
      <c r="B48" s="12" t="n">
        <v>32.4868848144844</v>
      </c>
      <c r="C48" s="12" t="n">
        <v>40.0467287140447</v>
      </c>
      <c r="D48" s="10" t="n">
        <f aca="false">C48-B48</f>
        <v>7.55984389956037</v>
      </c>
      <c r="E48" s="14" t="n">
        <f aca="false">IF(B48&lt;0.05,"new",C48/B48-1)</f>
        <v>0.232704488064359</v>
      </c>
      <c r="F48" s="14" t="n">
        <f aca="false">B48/B$60</f>
        <v>0.00979232726546723</v>
      </c>
      <c r="G48" s="14" t="n">
        <f aca="false">C48/C$60</f>
        <v>0.0114767123333915</v>
      </c>
      <c r="H48" s="21" t="n">
        <f aca="false">(G48-F48)*100</f>
        <v>0.168438506792427</v>
      </c>
      <c r="I48" s="21" t="n">
        <f aca="false">D48/B$60*100</f>
        <v>0.227871850326921</v>
      </c>
      <c r="J48" s="16" t="n">
        <v>145240.322580645</v>
      </c>
      <c r="K48" s="16" t="n">
        <v>139371</v>
      </c>
      <c r="L48" s="14" t="n">
        <f aca="false">IF(J48&lt;1,"new",K48/J48-1)</f>
        <v>-0.0404111095070465</v>
      </c>
      <c r="M48" s="14" t="n">
        <f aca="false">IF(OR(J48&lt;1,K48&lt;1,B48&lt;=0),"n/a",(C48/K48)/(B48/J48)-1)</f>
        <v>0.284617298384001</v>
      </c>
    </row>
    <row r="49" customFormat="false" ht="15" hidden="false" customHeight="false" outlineLevel="0" collapsed="false">
      <c r="A49" s="4" t="s">
        <v>165</v>
      </c>
      <c r="B49" s="12" t="n">
        <v>24.4730795321477</v>
      </c>
      <c r="C49" s="12" t="n">
        <v>38.127192916619</v>
      </c>
      <c r="D49" s="10" t="n">
        <f aca="false">C49-B49</f>
        <v>13.6541133844714</v>
      </c>
      <c r="E49" s="14" t="n">
        <f aca="false">IF(B49&lt;0.05,"new",C49/B49-1)</f>
        <v>0.55792379404216</v>
      </c>
      <c r="F49" s="14" t="n">
        <f aca="false">B49/B$60</f>
        <v>0.00737677389940909</v>
      </c>
      <c r="G49" s="14" t="n">
        <f aca="false">C49/C$60</f>
        <v>0.0109266059734437</v>
      </c>
      <c r="H49" s="21" t="n">
        <f aca="false">(G49-F49)*100</f>
        <v>0.354983207403456</v>
      </c>
      <c r="I49" s="21" t="n">
        <f aca="false">D49/B$60*100</f>
        <v>0.41156776817495</v>
      </c>
      <c r="J49" s="16" t="n">
        <v>56495.1612903226</v>
      </c>
      <c r="K49" s="16" t="n">
        <v>108168</v>
      </c>
      <c r="L49" s="14" t="n">
        <f aca="false">IF(J49&lt;1,"new",K49/J49-1)</f>
        <v>0.914641847717475</v>
      </c>
      <c r="M49" s="14" t="n">
        <f aca="false">IF(OR(J49&lt;1,K49&lt;1,B49&lt;=0),"n/a",(C49/K49)/(B49/J49)-1)</f>
        <v>-0.186310590725139</v>
      </c>
    </row>
    <row r="50" customFormat="false" ht="15" hidden="false" customHeight="false" outlineLevel="0" collapsed="false">
      <c r="A50" s="4" t="s">
        <v>166</v>
      </c>
      <c r="B50" s="12" t="n">
        <v>40.2272759849438</v>
      </c>
      <c r="C50" s="12" t="n">
        <v>36.9588995334318</v>
      </c>
      <c r="D50" s="10" t="n">
        <f aca="false">C50-B50</f>
        <v>-3.26837645151203</v>
      </c>
      <c r="E50" s="14" t="n">
        <f aca="false">IF(B50&lt;0.05,"new",C50/B50-1)</f>
        <v>-0.0812477696162006</v>
      </c>
      <c r="F50" s="14" t="n">
        <f aca="false">B50/B$60</f>
        <v>0.0121254670520828</v>
      </c>
      <c r="G50" s="14" t="n">
        <f aca="false">C50/C$60</f>
        <v>0.0105917929310205</v>
      </c>
      <c r="H50" s="21" t="n">
        <f aca="false">(G50-F50)*100</f>
        <v>-0.153367412106236</v>
      </c>
      <c r="I50" s="21" t="n">
        <f aca="false">D50/B$60*100</f>
        <v>-0.0985167153536458</v>
      </c>
      <c r="J50" s="16" t="n">
        <v>194535.483870968</v>
      </c>
      <c r="K50" s="16" t="n">
        <v>181800</v>
      </c>
      <c r="L50" s="14" t="n">
        <f aca="false">IF(J50&lt;1,"new",K50/J50-1)</f>
        <v>-0.0654661227738536</v>
      </c>
      <c r="M50" s="14" t="n">
        <f aca="false">IF(OR(J50&lt;1,K50&lt;1,B50&lt;=0),"n/a",(C50/K50)/(B50/J50)-1)</f>
        <v>-0.0168871853947014</v>
      </c>
    </row>
    <row r="51" customFormat="false" ht="15" hidden="false" customHeight="false" outlineLevel="0" collapsed="false">
      <c r="A51" s="4" t="s">
        <v>167</v>
      </c>
      <c r="B51" s="12" t="n">
        <v>12.2317266046014</v>
      </c>
      <c r="C51" s="12" t="n">
        <v>17.0331510801366</v>
      </c>
      <c r="D51" s="10" t="n">
        <f aca="false">C51-B51</f>
        <v>4.80142447553512</v>
      </c>
      <c r="E51" s="14" t="n">
        <f aca="false">IF(B51&lt;0.05,"new",C51/B51-1)</f>
        <v>0.392538570452423</v>
      </c>
      <c r="F51" s="14" t="n">
        <f aca="false">B51/B$60</f>
        <v>0.00368693614724723</v>
      </c>
      <c r="G51" s="14" t="n">
        <f aca="false">C51/C$60</f>
        <v>0.00488141182451604</v>
      </c>
      <c r="H51" s="21" t="n">
        <f aca="false">(G51-F51)*100</f>
        <v>0.119447567726881</v>
      </c>
      <c r="I51" s="21" t="n">
        <f aca="false">D51/B$60*100</f>
        <v>0.144726464458979</v>
      </c>
      <c r="J51" s="16" t="n">
        <v>93714.8709677419</v>
      </c>
      <c r="K51" s="16" t="n">
        <v>244535</v>
      </c>
      <c r="L51" s="14" t="n">
        <f aca="false">IF(J51&lt;1,"new",K51/J51-1)</f>
        <v>1.60935108243571</v>
      </c>
      <c r="M51" s="14" t="n">
        <f aca="false">IF(OR(J51&lt;1,K51&lt;1,B51&lt;=0),"n/a",(C51/K51)/(B51/J51)-1)</f>
        <v>-0.466327632250792</v>
      </c>
    </row>
    <row r="52" customFormat="false" ht="15" hidden="false" customHeight="false" outlineLevel="0" collapsed="false">
      <c r="A52" s="4" t="s">
        <v>168</v>
      </c>
      <c r="B52" s="12" t="n">
        <v>16.1110561870299</v>
      </c>
      <c r="C52" s="12" t="n">
        <v>16.5177859479097</v>
      </c>
      <c r="D52" s="10" t="n">
        <f aca="false">C52-B52</f>
        <v>0.406729760879717</v>
      </c>
      <c r="E52" s="14" t="n">
        <f aca="false">IF(B52&lt;0.05,"new",C52/B52-1)</f>
        <v>0.0252453815664271</v>
      </c>
      <c r="F52" s="14" t="n">
        <f aca="false">B52/B$60</f>
        <v>0.00485625924666646</v>
      </c>
      <c r="G52" s="14" t="n">
        <f aca="false">C52/C$60</f>
        <v>0.00473371693009751</v>
      </c>
      <c r="H52" s="21" t="n">
        <f aca="false">(G52-F52)*100</f>
        <v>-0.0122542316568951</v>
      </c>
      <c r="I52" s="21" t="n">
        <f aca="false">D52/B$60*100</f>
        <v>0.0122598117667585</v>
      </c>
      <c r="J52" s="16" t="n">
        <v>30820</v>
      </c>
      <c r="K52" s="16" t="n">
        <v>33142</v>
      </c>
      <c r="L52" s="14" t="n">
        <f aca="false">IF(J52&lt;1,"new",K52/J52-1)</f>
        <v>0.0753406878650227</v>
      </c>
      <c r="M52" s="14" t="n">
        <f aca="false">IF(OR(J52&lt;1,K52&lt;1,B52&lt;=0),"n/a",(C52/K52)/(B52/J52)-1)</f>
        <v>-0.0465855210947654</v>
      </c>
    </row>
    <row r="53" customFormat="false" ht="15" hidden="false" customHeight="false" outlineLevel="0" collapsed="false">
      <c r="A53" s="4" t="s">
        <v>169</v>
      </c>
      <c r="B53" s="12" t="n">
        <v>12.9274056837216</v>
      </c>
      <c r="C53" s="12" t="n">
        <v>13.0520700891147</v>
      </c>
      <c r="D53" s="10" t="n">
        <f aca="false">C53-B53</f>
        <v>0.1246644053931</v>
      </c>
      <c r="E53" s="14" t="n">
        <f aca="false">IF(B53&lt;0.05,"new",C53/B53-1)</f>
        <v>0.00964342022236364</v>
      </c>
      <c r="F53" s="14" t="n">
        <f aca="false">B53/B$60</f>
        <v>0.0038966305286379</v>
      </c>
      <c r="G53" s="14" t="n">
        <f aca="false">C53/C$60</f>
        <v>0.00374050162343218</v>
      </c>
      <c r="H53" s="21" t="n">
        <f aca="false">(G53-F53)*100</f>
        <v>-0.0156128905205717</v>
      </c>
      <c r="I53" s="21" t="n">
        <f aca="false">D53/B$60*100</f>
        <v>0.00375768456389464</v>
      </c>
      <c r="J53" s="16" t="n">
        <v>6958.48387096774</v>
      </c>
      <c r="K53" s="16" t="n">
        <v>6828</v>
      </c>
      <c r="L53" s="14" t="n">
        <f aca="false">IF(J53&lt;1,"new",K53/J53-1)</f>
        <v>-0.0187517673946401</v>
      </c>
      <c r="M53" s="14" t="n">
        <f aca="false">IF(OR(J53&lt;1,K53&lt;1,B53&lt;=0),"n/a",(C53/K53)/(B53/J53)-1)</f>
        <v>0.0289378229417141</v>
      </c>
    </row>
    <row r="54" customFormat="false" ht="15" hidden="false" customHeight="false" outlineLevel="0" collapsed="false">
      <c r="A54" s="4" t="s">
        <v>170</v>
      </c>
      <c r="B54" s="12" t="n">
        <v>8.2068783160446</v>
      </c>
      <c r="C54" s="12" t="n">
        <v>7.99788736646989</v>
      </c>
      <c r="D54" s="10" t="n">
        <f aca="false">C54-B54</f>
        <v>-0.208990949574717</v>
      </c>
      <c r="E54" s="14" t="n">
        <f aca="false">IF(B54&lt;0.05,"new",C54/B54-1)</f>
        <v>-0.025465340355557</v>
      </c>
      <c r="F54" s="14" t="n">
        <f aca="false">B54/B$60</f>
        <v>0.00247375021512511</v>
      </c>
      <c r="G54" s="14" t="n">
        <f aca="false">C54/C$60</f>
        <v>0.00229205869061783</v>
      </c>
      <c r="H54" s="21" t="n">
        <f aca="false">(G54-F54)*100</f>
        <v>-0.0181691524507276</v>
      </c>
      <c r="I54" s="21" t="n">
        <f aca="false">D54/B$60*100</f>
        <v>-0.00629948911827934</v>
      </c>
      <c r="J54" s="16" t="n">
        <v>1167583.87096774</v>
      </c>
      <c r="K54" s="16" t="n">
        <v>1239090</v>
      </c>
      <c r="L54" s="14" t="n">
        <f aca="false">IF(J54&lt;1,"new",K54/J54-1)</f>
        <v>0.0612428201607398</v>
      </c>
      <c r="M54" s="14" t="n">
        <f aca="false">IF(OR(J54&lt;1,K54&lt;1,B54&lt;=0),"n/a",(C54/K54)/(B54/J54)-1)</f>
        <v>-0.0817043553737906</v>
      </c>
    </row>
    <row r="55" customFormat="false" ht="15" hidden="false" customHeight="false" outlineLevel="0" collapsed="false">
      <c r="A55" s="4" t="s">
        <v>171</v>
      </c>
      <c r="B55" s="12" t="n">
        <v>6.29217208351111</v>
      </c>
      <c r="C55" s="12" t="n">
        <v>6.73177145464897</v>
      </c>
      <c r="D55" s="10" t="n">
        <f aca="false">C55-B55</f>
        <v>0.439599371137855</v>
      </c>
      <c r="E55" s="14" t="n">
        <f aca="false">IF(B55&lt;0.05,"new",C55/B55-1)</f>
        <v>0.0698644864290732</v>
      </c>
      <c r="F55" s="14" t="n">
        <f aca="false">B55/B$60</f>
        <v>0.00189661177438923</v>
      </c>
      <c r="G55" s="14" t="n">
        <f aca="false">C55/C$60</f>
        <v>0.00192921137281426</v>
      </c>
      <c r="H55" s="21" t="n">
        <f aca="false">(G55-F55)*100</f>
        <v>0.00325995984250364</v>
      </c>
      <c r="I55" s="21" t="n">
        <f aca="false">D55/B$60*100</f>
        <v>0.0132505807573037</v>
      </c>
      <c r="J55" s="16" t="n">
        <v>2410856.51612903</v>
      </c>
      <c r="K55" s="16" t="n">
        <v>2428772</v>
      </c>
      <c r="L55" s="14" t="n">
        <f aca="false">IF(J55&lt;1,"new",K55/J55-1)</f>
        <v>0.00743116969056867</v>
      </c>
      <c r="M55" s="14" t="n">
        <f aca="false">IF(OR(J55&lt;1,K55&lt;1,B55&lt;=0),"n/a",(C55/K55)/(B55/J55)-1)</f>
        <v>0.061972786446225</v>
      </c>
    </row>
    <row r="56" customFormat="false" ht="15" hidden="false" customHeight="false" outlineLevel="0" collapsed="false">
      <c r="A56" s="4" t="s">
        <v>172</v>
      </c>
      <c r="B56" s="12" t="n">
        <v>0</v>
      </c>
      <c r="C56" s="12" t="n">
        <v>0.546470899221748</v>
      </c>
      <c r="D56" s="10" t="n">
        <f aca="false">C56-B56</f>
        <v>0.546470899221748</v>
      </c>
      <c r="E56" s="14" t="str">
        <f aca="false">IF(B56&lt;0.05,"new",C56/B56-1)</f>
        <v>new</v>
      </c>
      <c r="F56" s="14" t="n">
        <f aca="false">B56/B$60</f>
        <v>0</v>
      </c>
      <c r="G56" s="14" t="n">
        <f aca="false">C56/C$60</f>
        <v>0.000156609278968103</v>
      </c>
      <c r="H56" s="21" t="n">
        <f aca="false">(G56-F56)*100</f>
        <v>0.0156609278968103</v>
      </c>
      <c r="I56" s="21" t="n">
        <f aca="false">D56/B$60*100</f>
        <v>0.0164719452689649</v>
      </c>
      <c r="J56" s="16" t="n">
        <v>0</v>
      </c>
      <c r="K56" s="16" t="n">
        <v>1987</v>
      </c>
      <c r="L56" s="14" t="str">
        <f aca="false">IF(J56&lt;1,"new",K56/J56-1)</f>
        <v>new</v>
      </c>
      <c r="M56" s="14" t="str">
        <f aca="false">IF(OR(J56&lt;1,K56&lt;1,B56&lt;=0),"n/a",(C56/K56)/(B56/J56)-1)</f>
        <v>n/a</v>
      </c>
    </row>
    <row r="57" customFormat="false" ht="15" hidden="false" customHeight="false" outlineLevel="0" collapsed="false">
      <c r="A57" s="4" t="s">
        <v>176</v>
      </c>
      <c r="B57" s="12" t="n">
        <v>0</v>
      </c>
      <c r="C57" s="12" t="n">
        <v>0.384565288457017</v>
      </c>
      <c r="D57" s="10" t="n">
        <f aca="false">C57-B57</f>
        <v>0.384565288457017</v>
      </c>
      <c r="E57" s="14" t="str">
        <f aca="false">IF(B57&lt;0.05,"new",C57/B57-1)</f>
        <v>new</v>
      </c>
      <c r="F57" s="14" t="n">
        <f aca="false">B57/B$60</f>
        <v>0</v>
      </c>
      <c r="G57" s="14" t="n">
        <f aca="false">C57/C$60</f>
        <v>0.000110209880575864</v>
      </c>
      <c r="H57" s="21" t="n">
        <f aca="false">(G57-F57)*100</f>
        <v>0.0110209880575864</v>
      </c>
      <c r="I57" s="21" t="n">
        <f aca="false">D57/B$60*100</f>
        <v>0.0115917213392862</v>
      </c>
      <c r="J57" s="16" t="n">
        <v>0</v>
      </c>
      <c r="K57" s="16" t="n">
        <v>1253</v>
      </c>
      <c r="L57" s="14" t="str">
        <f aca="false">IF(J57&lt;1,"new",K57/J57-1)</f>
        <v>new</v>
      </c>
      <c r="M57" s="14" t="str">
        <f aca="false">IF(OR(J57&lt;1,K57&lt;1,B57&lt;=0),"n/a",(C57/K57)/(B57/J57)-1)</f>
        <v>n/a</v>
      </c>
    </row>
    <row r="58" customFormat="false" ht="15" hidden="false" customHeight="false" outlineLevel="0" collapsed="false">
      <c r="A58" s="4" t="s">
        <v>173</v>
      </c>
      <c r="B58" s="12" t="n">
        <v>0.444524915843239</v>
      </c>
      <c r="C58" s="12" t="n">
        <v>0.248809373375129</v>
      </c>
      <c r="D58" s="10" t="n">
        <f aca="false">C58-B58</f>
        <v>-0.195715542468111</v>
      </c>
      <c r="E58" s="14" t="n">
        <f aca="false">IF(B58&lt;0.05,"new",C58/B58-1)</f>
        <v>-0.440280253125629</v>
      </c>
      <c r="F58" s="14" t="n">
        <f aca="false">B58/B$60</f>
        <v>0.000133990485035688</v>
      </c>
      <c r="G58" s="14" t="n">
        <f aca="false">C58/C$60</f>
        <v>7.13045408644402E-005</v>
      </c>
      <c r="H58" s="21" t="n">
        <f aca="false">(G58-F58)*100</f>
        <v>-0.00626859441712476</v>
      </c>
      <c r="I58" s="21" t="n">
        <f aca="false">D58/B$60*100</f>
        <v>-0.00589933646679385</v>
      </c>
      <c r="J58" s="16" t="n">
        <v>788.193548387097</v>
      </c>
      <c r="K58" s="16" t="n">
        <v>433</v>
      </c>
      <c r="L58" s="14" t="n">
        <f aca="false">IF(J58&lt;1,"new",K58/J58-1)</f>
        <v>-0.450642547270197</v>
      </c>
      <c r="M58" s="14" t="n">
        <f aca="false">IF(OR(J58&lt;1,K58&lt;1,B58&lt;=0),"n/a",(C58/K58)/(B58/J58)-1)</f>
        <v>0.0188625713423507</v>
      </c>
    </row>
    <row r="59" customFormat="false" ht="15" hidden="false" customHeight="false" outlineLevel="0" collapsed="false">
      <c r="A59" s="4" t="s">
        <v>174</v>
      </c>
      <c r="B59" s="12" t="n">
        <v>0.0411230721576948</v>
      </c>
      <c r="C59" s="12" t="n">
        <v>0.0410268971196677</v>
      </c>
      <c r="D59" s="10" t="n">
        <f aca="false">C59-B59</f>
        <v>-9.61750380270646E-005</v>
      </c>
      <c r="E59" s="14" t="str">
        <f aca="false">IF(B59&lt;0.05,"new",C59/B59-1)</f>
        <v>new</v>
      </c>
      <c r="F59" s="14" t="n">
        <f aca="false">B59/B$60</f>
        <v>1.23954815313665E-005</v>
      </c>
      <c r="G59" s="14" t="n">
        <f aca="false">C59/C$60</f>
        <v>1.17576119521828E-005</v>
      </c>
      <c r="H59" s="21" t="n">
        <f aca="false">(G59-F59)*100</f>
        <v>-6.37869579183675E-005</v>
      </c>
      <c r="I59" s="21" t="n">
        <f aca="false">D59/B$60*100</f>
        <v>-2.89894661340344E-006</v>
      </c>
      <c r="J59" s="16" t="n">
        <v>20160.4193548387</v>
      </c>
      <c r="K59" s="16" t="n">
        <v>11252</v>
      </c>
      <c r="L59" s="14" t="n">
        <f aca="false">IF(J59&lt;1,"new",K59/J59-1)</f>
        <v>-0.441876689072968</v>
      </c>
      <c r="M59" s="14" t="n">
        <f aca="false">IF(OR(J59&lt;1,K59&lt;1,B59&lt;=0),"n/a",(C59/K59)/(B59/J59)-1)</f>
        <v>0.787528433387319</v>
      </c>
    </row>
    <row r="60" customFormat="false" ht="15" hidden="false" customHeight="false" outlineLevel="0" collapsed="false">
      <c r="A60" s="7" t="s">
        <v>84</v>
      </c>
      <c r="B60" s="13" t="n">
        <f aca="false">SUM(B35:B59)</f>
        <v>3317.58569069171</v>
      </c>
      <c r="C60" s="13" t="n">
        <f aca="false">SUM(C35:C59)</f>
        <v>3489.3903019185</v>
      </c>
      <c r="D60" s="13" t="n">
        <f aca="false">SUM(D35:D59)</f>
        <v>171.804611226791</v>
      </c>
      <c r="E60" s="19" t="n">
        <f aca="false">C60/B60-1</f>
        <v>0.0517860357635465</v>
      </c>
      <c r="I60" s="22" t="n">
        <f aca="false">SUM(I35:I59)</f>
        <v>5.17860357635466</v>
      </c>
      <c r="J60" s="23" t="n">
        <f aca="false">SUM(J35:J59)</f>
        <v>15054344.4516129</v>
      </c>
      <c r="K60" s="23" t="n">
        <f aca="false">SUM(K35:K59)</f>
        <v>15428967</v>
      </c>
      <c r="L60" s="19" t="n">
        <f aca="false">K60/J60-1</f>
        <v>0.024884680272276</v>
      </c>
      <c r="M60" s="19" t="n">
        <f aca="false">(C60/K60)/(B60/J60)-1</f>
        <v>0.026248177974642</v>
      </c>
    </row>
    <row r="63" customFormat="false" ht="15" hidden="false" customHeight="false" outlineLevel="0" collapsed="false">
      <c r="A63" s="7" t="s">
        <v>177</v>
      </c>
    </row>
    <row r="64" customFormat="false" ht="39.75" hidden="false" customHeight="true" outlineLevel="0" collapsed="false">
      <c r="A64" s="3" t="s">
        <v>142</v>
      </c>
      <c r="B64" s="3" t="s">
        <v>116</v>
      </c>
      <c r="C64" s="3" t="s">
        <v>117</v>
      </c>
      <c r="D64" s="3" t="s">
        <v>118</v>
      </c>
      <c r="E64" s="3" t="s">
        <v>119</v>
      </c>
      <c r="F64" s="3" t="s">
        <v>143</v>
      </c>
      <c r="G64" s="3" t="s">
        <v>144</v>
      </c>
      <c r="H64" s="3" t="s">
        <v>145</v>
      </c>
      <c r="I64" s="3" t="s">
        <v>146</v>
      </c>
      <c r="J64" s="3" t="s">
        <v>147</v>
      </c>
      <c r="K64" s="3" t="s">
        <v>148</v>
      </c>
      <c r="L64" s="3" t="s">
        <v>149</v>
      </c>
      <c r="M64" s="3" t="s">
        <v>150</v>
      </c>
    </row>
    <row r="65" customFormat="false" ht="15" hidden="false" customHeight="false" outlineLevel="0" collapsed="false">
      <c r="A65" s="4" t="s">
        <v>178</v>
      </c>
      <c r="B65" s="12" t="n">
        <v>92.8101974501688</v>
      </c>
      <c r="C65" s="12" t="n">
        <v>91.0678455890115</v>
      </c>
      <c r="D65" s="10" t="n">
        <f aca="false">C65-B65</f>
        <v>-1.74235186115727</v>
      </c>
      <c r="E65" s="14" t="n">
        <f aca="false">IF(B65&lt;0.05,"new",C65/B65-1)</f>
        <v>-0.0187732804048043</v>
      </c>
      <c r="F65" s="14" t="n">
        <f aca="false">B65/B$97</f>
        <v>0.235919861741057</v>
      </c>
      <c r="G65" s="14" t="n">
        <f aca="false">C65/C$97</f>
        <v>0.245726131394073</v>
      </c>
      <c r="H65" s="21" t="n">
        <f aca="false">(G65-F65)*100</f>
        <v>0.98062696530164</v>
      </c>
      <c r="I65" s="21" t="n">
        <f aca="false">D65/B$97*100</f>
        <v>-0.442898971752753</v>
      </c>
      <c r="J65" s="16" t="n">
        <v>263655.612903226</v>
      </c>
      <c r="K65" s="16" t="n">
        <v>250778.590061862</v>
      </c>
      <c r="L65" s="14" t="n">
        <f aca="false">IF(J65&lt;1,"new",K65/J65-1)</f>
        <v>-0.0488403136939486</v>
      </c>
      <c r="M65" s="14" t="n">
        <f aca="false">IF(OR(J65&lt;1,K65&lt;1,B65&lt;=0),"n/a",(C65/K65)/(B65/J65)-1)</f>
        <v>0.0316109205657289</v>
      </c>
    </row>
    <row r="66" customFormat="false" ht="15" hidden="false" customHeight="false" outlineLevel="0" collapsed="false">
      <c r="A66" s="4" t="s">
        <v>179</v>
      </c>
      <c r="B66" s="12" t="n">
        <v>59.5782541688902</v>
      </c>
      <c r="C66" s="12" t="n">
        <v>52.0651096268553</v>
      </c>
      <c r="D66" s="10" t="n">
        <f aca="false">C66-B66</f>
        <v>-7.51314454203494</v>
      </c>
      <c r="E66" s="14" t="n">
        <f aca="false">IF(B66&lt;0.05,"new",C66/B66-1)</f>
        <v>-0.126105483398976</v>
      </c>
      <c r="F66" s="14" t="n">
        <f aca="false">B66/B$97</f>
        <v>0.151445572495898</v>
      </c>
      <c r="G66" s="14" t="n">
        <f aca="false">C66/C$97</f>
        <v>0.140486006740004</v>
      </c>
      <c r="H66" s="21" t="n">
        <f aca="false">(G66-F66)*100</f>
        <v>-1.09595657558943</v>
      </c>
      <c r="I66" s="21" t="n">
        <f aca="false">D66/B$97*100</f>
        <v>-1.90981171282298</v>
      </c>
      <c r="J66" s="16" t="n">
        <v>75740.3225806452</v>
      </c>
      <c r="K66" s="16" t="n">
        <v>68523</v>
      </c>
      <c r="L66" s="14" t="n">
        <f aca="false">IF(J66&lt;1,"new",K66/J66-1)</f>
        <v>-0.0952903596754616</v>
      </c>
      <c r="M66" s="14" t="n">
        <f aca="false">IF(OR(J66&lt;1,K66&lt;1,B66&lt;=0),"n/a",(C66/K66)/(B66/J66)-1)</f>
        <v>-0.0340607885116159</v>
      </c>
    </row>
    <row r="67" customFormat="false" ht="15" hidden="false" customHeight="false" outlineLevel="0" collapsed="false">
      <c r="A67" s="4" t="s">
        <v>180</v>
      </c>
      <c r="B67" s="12" t="n">
        <v>48.6806858130042</v>
      </c>
      <c r="C67" s="12" t="n">
        <v>43.8258706873324</v>
      </c>
      <c r="D67" s="10" t="n">
        <f aca="false">C67-B67</f>
        <v>-4.85481512567185</v>
      </c>
      <c r="E67" s="14" t="n">
        <f aca="false">IF(B67&lt;0.05,"new",C67/B67-1)</f>
        <v>-0.099727747146384</v>
      </c>
      <c r="F67" s="14" t="n">
        <f aca="false">B67/B$97</f>
        <v>0.123744383505165</v>
      </c>
      <c r="G67" s="14" t="n">
        <f aca="false">C67/C$97</f>
        <v>0.118254270640993</v>
      </c>
      <c r="H67" s="21" t="n">
        <f aca="false">(G67-F67)*100</f>
        <v>-0.549011286417245</v>
      </c>
      <c r="I67" s="21" t="n">
        <f aca="false">D67/B$97*100</f>
        <v>-1.23407485889883</v>
      </c>
      <c r="J67" s="16" t="n">
        <v>129465.35483871</v>
      </c>
      <c r="K67" s="16" t="n">
        <v>113662</v>
      </c>
      <c r="L67" s="14" t="n">
        <f aca="false">IF(J67&lt;1,"new",K67/J67-1)</f>
        <v>-0.122066284516022</v>
      </c>
      <c r="M67" s="14" t="n">
        <f aca="false">IF(OR(J67&lt;1,K67&lt;1,B67&lt;=0),"n/a",(C67/K67)/(B67/J67)-1)</f>
        <v>0.0254444464037054</v>
      </c>
    </row>
    <row r="68" customFormat="false" ht="15" hidden="false" customHeight="false" outlineLevel="0" collapsed="false">
      <c r="A68" s="4" t="s">
        <v>181</v>
      </c>
      <c r="B68" s="12" t="n">
        <v>28.9220014216175</v>
      </c>
      <c r="C68" s="12" t="n">
        <v>25.7162852257476</v>
      </c>
      <c r="D68" s="10" t="n">
        <f aca="false">C68-B68</f>
        <v>-3.20571619586987</v>
      </c>
      <c r="E68" s="14" t="n">
        <f aca="false">IF(B68&lt;0.05,"new",C68/B68-1)</f>
        <v>-0.110840053879321</v>
      </c>
      <c r="F68" s="14" t="n">
        <f aca="false">B68/B$97</f>
        <v>0.0735185870100769</v>
      </c>
      <c r="G68" s="14" t="n">
        <f aca="false">C68/C$97</f>
        <v>0.0693896209082167</v>
      </c>
      <c r="H68" s="21" t="n">
        <f aca="false">(G68-F68)*100</f>
        <v>-0.412896610186016</v>
      </c>
      <c r="I68" s="21" t="n">
        <f aca="false">D68/B$97*100</f>
        <v>-0.814880414532845</v>
      </c>
      <c r="J68" s="16" t="n">
        <v>31614.3225806452</v>
      </c>
      <c r="K68" s="16" t="n">
        <v>27894.5106642895</v>
      </c>
      <c r="L68" s="14" t="n">
        <f aca="false">IF(J68&lt;1,"new",K68/J68-1)</f>
        <v>-0.117662237008772</v>
      </c>
      <c r="M68" s="14" t="n">
        <f aca="false">IF(OR(J68&lt;1,K68&lt;1,B68&lt;=0),"n/a",(C68/K68)/(B68/J68)-1)</f>
        <v>0.0077319405511147</v>
      </c>
    </row>
    <row r="69" customFormat="false" ht="15" hidden="false" customHeight="false" outlineLevel="0" collapsed="false">
      <c r="A69" s="4" t="s">
        <v>182</v>
      </c>
      <c r="B69" s="12" t="n">
        <v>25.9040671346218</v>
      </c>
      <c r="C69" s="12" t="n">
        <v>21.4102605774733</v>
      </c>
      <c r="D69" s="10" t="n">
        <f aca="false">C69-B69</f>
        <v>-4.49380655714841</v>
      </c>
      <c r="E69" s="14" t="n">
        <f aca="false">IF(B69&lt;0.05,"new",C69/B69-1)</f>
        <v>-0.173478802915171</v>
      </c>
      <c r="F69" s="14" t="n">
        <f aca="false">B69/B$97</f>
        <v>0.0658471170715078</v>
      </c>
      <c r="G69" s="14" t="n">
        <f aca="false">C69/C$97</f>
        <v>0.0577707803430937</v>
      </c>
      <c r="H69" s="21" t="n">
        <f aca="false">(G69-F69)*100</f>
        <v>-0.807633672841408</v>
      </c>
      <c r="I69" s="21" t="n">
        <f aca="false">D69/B$97*100</f>
        <v>-1.14230790449803</v>
      </c>
      <c r="J69" s="16" t="n">
        <v>26997.064516129</v>
      </c>
      <c r="K69" s="16" t="n">
        <v>21482.6018837618</v>
      </c>
      <c r="L69" s="14" t="n">
        <f aca="false">IF(J69&lt;1,"new",K69/J69-1)</f>
        <v>-0.20426156440352</v>
      </c>
      <c r="M69" s="14" t="n">
        <f aca="false">IF(OR(J69&lt;1,K69&lt;1,B69&lt;=0),"n/a",(C69/K69)/(B69/J69)-1)</f>
        <v>0.0386845225909864</v>
      </c>
    </row>
    <row r="70" customFormat="false" ht="15" hidden="false" customHeight="false" outlineLevel="0" collapsed="false">
      <c r="A70" s="4" t="s">
        <v>183</v>
      </c>
      <c r="B70" s="12" t="n">
        <v>17.5590586810037</v>
      </c>
      <c r="C70" s="12" t="n">
        <v>17.2728080395037</v>
      </c>
      <c r="D70" s="10" t="n">
        <f aca="false">C70-B70</f>
        <v>-0.286250641499979</v>
      </c>
      <c r="E70" s="14" t="n">
        <f aca="false">IF(B70&lt;0.05,"new",C70/B70-1)</f>
        <v>-0.0163021632708398</v>
      </c>
      <c r="F70" s="14" t="n">
        <f aca="false">B70/B$97</f>
        <v>0.0446344346864436</v>
      </c>
      <c r="G70" s="14" t="n">
        <f aca="false">C70/C$97</f>
        <v>0.0466067937635699</v>
      </c>
      <c r="H70" s="21" t="n">
        <f aca="false">(G70-F70)*100</f>
        <v>0.197235907712633</v>
      </c>
      <c r="I70" s="21" t="n">
        <f aca="false">D70/B$97*100</f>
        <v>-0.072763784176004</v>
      </c>
      <c r="J70" s="16" t="n">
        <v>13318.064516129</v>
      </c>
      <c r="K70" s="16" t="n">
        <v>13828.5717285951</v>
      </c>
      <c r="L70" s="14" t="n">
        <f aca="false">IF(J70&lt;1,"new",K70/J70-1)</f>
        <v>0.0383319371856017</v>
      </c>
      <c r="M70" s="14" t="n">
        <f aca="false">IF(OR(J70&lt;1,K70&lt;1,B70&lt;=0),"n/a",(C70/K70)/(B70/J70)-1)</f>
        <v>-0.0526171819433072</v>
      </c>
    </row>
    <row r="71" customFormat="false" ht="15" hidden="false" customHeight="false" outlineLevel="0" collapsed="false">
      <c r="A71" s="4" t="s">
        <v>184</v>
      </c>
      <c r="B71" s="12" t="n">
        <v>15.9965295283478</v>
      </c>
      <c r="C71" s="12" t="n">
        <v>14.164246087321</v>
      </c>
      <c r="D71" s="10" t="n">
        <f aca="false">C71-B71</f>
        <v>-1.83228344102675</v>
      </c>
      <c r="E71" s="14" t="n">
        <f aca="false">IF(B71&lt;0.05,"new",C71/B71-1)</f>
        <v>-0.114542559858357</v>
      </c>
      <c r="F71" s="14" t="n">
        <f aca="false">B71/B$97</f>
        <v>0.0406625472022167</v>
      </c>
      <c r="G71" s="14" t="n">
        <f aca="false">C71/C$97</f>
        <v>0.0382190373851449</v>
      </c>
      <c r="H71" s="21" t="n">
        <f aca="false">(G71-F71)*100</f>
        <v>-0.24435098170718</v>
      </c>
      <c r="I71" s="21" t="n">
        <f aca="false">D71/B$97*100</f>
        <v>-0.465759224690317</v>
      </c>
      <c r="J71" s="16" t="n">
        <v>19988.7741935484</v>
      </c>
      <c r="K71" s="16" t="n">
        <v>17747</v>
      </c>
      <c r="L71" s="14" t="n">
        <f aca="false">IF(J71&lt;1,"new",K71/J71-1)</f>
        <v>-0.112151659318456</v>
      </c>
      <c r="M71" s="14" t="n">
        <f aca="false">IF(OR(J71&lt;1,K71&lt;1,B71&lt;=0),"n/a",(C71/K71)/(B71/J71)-1)</f>
        <v>-0.0026929154793095</v>
      </c>
    </row>
    <row r="72" customFormat="false" ht="15" hidden="false" customHeight="false" outlineLevel="0" collapsed="false">
      <c r="A72" s="4" t="s">
        <v>185</v>
      </c>
      <c r="B72" s="12" t="n">
        <v>14.6380364204561</v>
      </c>
      <c r="C72" s="12" t="n">
        <v>13.8416374200152</v>
      </c>
      <c r="D72" s="10" t="n">
        <f aca="false">C72-B72</f>
        <v>-0.796399000440839</v>
      </c>
      <c r="E72" s="14" t="n">
        <f aca="false">IF(B72&lt;0.05,"new",C72/B72-1)</f>
        <v>-0.0544061360120613</v>
      </c>
      <c r="F72" s="14" t="n">
        <f aca="false">B72/B$97</f>
        <v>0.0372093112971636</v>
      </c>
      <c r="G72" s="14" t="n">
        <f aca="false">C72/C$97</f>
        <v>0.0373485503404748</v>
      </c>
      <c r="H72" s="21" t="n">
        <f aca="false">(G72-F72)*100</f>
        <v>0.0139239043311194</v>
      </c>
      <c r="I72" s="21" t="n">
        <f aca="false">D72/B$97*100</f>
        <v>-0.202441485134861</v>
      </c>
      <c r="J72" s="16" t="n">
        <v>14869.935483871</v>
      </c>
      <c r="K72" s="16" t="n">
        <v>13506.4164225542</v>
      </c>
      <c r="L72" s="14" t="n">
        <f aca="false">IF(J72&lt;1,"new",K72/J72-1)</f>
        <v>-0.0916963669947164</v>
      </c>
      <c r="M72" s="14" t="n">
        <f aca="false">IF(OR(J72&lt;1,K72&lt;1,B72&lt;=0),"n/a",(C72/K72)/(B72/J72)-1)</f>
        <v>0.0410548076960495</v>
      </c>
    </row>
    <row r="73" customFormat="false" ht="15" hidden="false" customHeight="false" outlineLevel="0" collapsed="false">
      <c r="A73" s="4" t="s">
        <v>186</v>
      </c>
      <c r="B73" s="12" t="n">
        <v>13.3145278903752</v>
      </c>
      <c r="C73" s="12" t="n">
        <v>13.4186383611233</v>
      </c>
      <c r="D73" s="10" t="n">
        <f aca="false">C73-B73</f>
        <v>0.10411047074807</v>
      </c>
      <c r="E73" s="14" t="n">
        <f aca="false">IF(B73&lt;0.05,"new",C73/B73-1)</f>
        <v>0.00781931373048006</v>
      </c>
      <c r="F73" s="14" t="n">
        <f aca="false">B73/B$97</f>
        <v>0.0338450048092109</v>
      </c>
      <c r="G73" s="14" t="n">
        <f aca="false">C73/C$97</f>
        <v>0.036207182367481</v>
      </c>
      <c r="H73" s="21" t="n">
        <f aca="false">(G73-F73)*100</f>
        <v>0.236217755827012</v>
      </c>
      <c r="I73" s="21" t="n">
        <f aca="false">D73/B$97*100</f>
        <v>0.0264644710812825</v>
      </c>
      <c r="J73" s="16" t="n">
        <v>19783.8709677419</v>
      </c>
      <c r="K73" s="16" t="n">
        <v>20167</v>
      </c>
      <c r="L73" s="14" t="n">
        <f aca="false">IF(J73&lt;1,"new",K73/J73-1)</f>
        <v>0.0193657263981737</v>
      </c>
      <c r="M73" s="14" t="n">
        <f aca="false">IF(OR(J73&lt;1,K73&lt;1,B73&lt;=0),"n/a",(C73/K73)/(B73/J73)-1)</f>
        <v>-0.0113270560002949</v>
      </c>
    </row>
    <row r="74" customFormat="false" ht="15" hidden="false" customHeight="false" outlineLevel="0" collapsed="false">
      <c r="A74" s="4" t="s">
        <v>187</v>
      </c>
      <c r="B74" s="12" t="n">
        <v>12.2120783612816</v>
      </c>
      <c r="C74" s="12" t="n">
        <v>10.7505050234214</v>
      </c>
      <c r="D74" s="10" t="n">
        <f aca="false">C74-B74</f>
        <v>-1.4615733378602</v>
      </c>
      <c r="E74" s="14" t="n">
        <f aca="false">IF(B74&lt;0.05,"new",C74/B74-1)</f>
        <v>-0.119682603945134</v>
      </c>
      <c r="F74" s="14" t="n">
        <f aca="false">B74/B$97</f>
        <v>0.0310426215838124</v>
      </c>
      <c r="G74" s="14" t="n">
        <f aca="false">C74/C$97</f>
        <v>0.0290078237038764</v>
      </c>
      <c r="H74" s="21" t="n">
        <f aca="false">(G74-F74)*100</f>
        <v>-0.2034797879936</v>
      </c>
      <c r="I74" s="21" t="n">
        <f aca="false">D74/B$97*100</f>
        <v>-0.371526178443408</v>
      </c>
      <c r="J74" s="16" t="n">
        <v>29155.5806451613</v>
      </c>
      <c r="K74" s="16" t="n">
        <v>24386</v>
      </c>
      <c r="L74" s="14" t="n">
        <f aca="false">IF(J74&lt;1,"new",K74/J74-1)</f>
        <v>-0.163590658790493</v>
      </c>
      <c r="M74" s="14" t="n">
        <f aca="false">IF(OR(J74&lt;1,K74&lt;1,B74&lt;=0),"n/a",(C74/K74)/(B74/J74)-1)</f>
        <v>0.0524958924799492</v>
      </c>
    </row>
    <row r="75" customFormat="false" ht="15" hidden="false" customHeight="false" outlineLevel="0" collapsed="false">
      <c r="A75" s="4" t="s">
        <v>188</v>
      </c>
      <c r="B75" s="12" t="n">
        <v>4.00598053241319</v>
      </c>
      <c r="C75" s="12" t="n">
        <v>10.4784426663322</v>
      </c>
      <c r="D75" s="10" t="n">
        <f aca="false">C75-B75</f>
        <v>6.47246213391901</v>
      </c>
      <c r="E75" s="14" t="n">
        <f aca="false">IF(B75&lt;0.05,"new",C75/B75-1)</f>
        <v>1.61569984715328</v>
      </c>
      <c r="F75" s="14" t="n">
        <f aca="false">B75/B$97</f>
        <v>0.0101830445286114</v>
      </c>
      <c r="G75" s="14" t="n">
        <f aca="false">C75/C$97</f>
        <v>0.028273724526795</v>
      </c>
      <c r="H75" s="21" t="n">
        <f aca="false">(G75-F75)*100</f>
        <v>1.80906799981835</v>
      </c>
      <c r="I75" s="21" t="n">
        <f aca="false">D75/B$97*100</f>
        <v>1.64527434884325</v>
      </c>
      <c r="J75" s="16" t="n">
        <v>2852.70967741936</v>
      </c>
      <c r="K75" s="16" t="n">
        <v>11883</v>
      </c>
      <c r="L75" s="14" t="n">
        <f aca="false">IF(J75&lt;1,"new",K75/J75-1)</f>
        <v>3.16551326412918</v>
      </c>
      <c r="M75" s="14" t="n">
        <f aca="false">IF(OR(J75&lt;1,K75&lt;1,B75&lt;=0),"n/a",(C75/K75)/(B75/J75)-1)</f>
        <v>-0.372058211966802</v>
      </c>
    </row>
    <row r="76" customFormat="false" ht="15" hidden="false" customHeight="false" outlineLevel="0" collapsed="false">
      <c r="A76" s="4" t="s">
        <v>189</v>
      </c>
      <c r="B76" s="12" t="n">
        <v>0.590768057610861</v>
      </c>
      <c r="C76" s="12" t="n">
        <v>10.3227272212342</v>
      </c>
      <c r="D76" s="10" t="n">
        <f aca="false">C76-B76</f>
        <v>9.73195916362333</v>
      </c>
      <c r="E76" s="14" t="n">
        <f aca="false">IF(B76&lt;0.05,"new",C76/B76-1)</f>
        <v>16.473401089051</v>
      </c>
      <c r="F76" s="14" t="n">
        <f aca="false">B76/B$97</f>
        <v>0.00150170910418997</v>
      </c>
      <c r="G76" s="14" t="n">
        <f aca="false">C76/C$97</f>
        <v>0.0278535613652009</v>
      </c>
      <c r="H76" s="21" t="n">
        <f aca="false">(G76-F76)*100</f>
        <v>2.63518522610109</v>
      </c>
      <c r="I76" s="21" t="n">
        <f aca="false">D76/B$97*100</f>
        <v>2.47382563924009</v>
      </c>
      <c r="J76" s="16" t="n">
        <v>3291.8064516129</v>
      </c>
      <c r="K76" s="16" t="n">
        <v>24810.8756836449</v>
      </c>
      <c r="L76" s="14" t="n">
        <f aca="false">IF(J76&lt;1,"new",K76/J76-1)</f>
        <v>6.53716114490515</v>
      </c>
      <c r="M76" s="14" t="n">
        <f aca="false">IF(OR(J76&lt;1,K76&lt;1,B76&lt;=0),"n/a",(C76/K76)/(B76/J76)-1)</f>
        <v>1.31830005397489</v>
      </c>
    </row>
    <row r="77" customFormat="false" ht="15" hidden="false" customHeight="false" outlineLevel="0" collapsed="false">
      <c r="A77" s="4" t="s">
        <v>190</v>
      </c>
      <c r="B77" s="12" t="n">
        <v>10.3936649163478</v>
      </c>
      <c r="C77" s="12" t="n">
        <v>10.322551867699</v>
      </c>
      <c r="D77" s="10" t="n">
        <f aca="false">C77-B77</f>
        <v>-0.0711130486487601</v>
      </c>
      <c r="E77" s="14" t="n">
        <f aca="false">IF(B77&lt;0.05,"new",C77/B77-1)</f>
        <v>-0.00684196086953981</v>
      </c>
      <c r="F77" s="14" t="n">
        <f aca="false">B77/B$97</f>
        <v>0.0264202863199833</v>
      </c>
      <c r="G77" s="14" t="n">
        <f aca="false">C77/C$97</f>
        <v>0.0278530882130631</v>
      </c>
      <c r="H77" s="21" t="n">
        <f aca="false">(G77-F77)*100</f>
        <v>0.143280189307981</v>
      </c>
      <c r="I77" s="21" t="n">
        <f aca="false">D77/B$97*100</f>
        <v>-0.0180766565163363</v>
      </c>
      <c r="J77" s="16" t="n">
        <v>15449.7096774194</v>
      </c>
      <c r="K77" s="16" t="n">
        <v>15979</v>
      </c>
      <c r="L77" s="14" t="n">
        <f aca="false">IF(J77&lt;1,"new",K77/J77-1)</f>
        <v>0.0342589170691174</v>
      </c>
      <c r="M77" s="14" t="n">
        <f aca="false">IF(OR(J77&lt;1,K77&lt;1,B77&lt;=0),"n/a",(C77/K77)/(B77/J77)-1)</f>
        <v>-0.0397394475023033</v>
      </c>
    </row>
    <row r="78" customFormat="false" ht="15" hidden="false" customHeight="false" outlineLevel="0" collapsed="false">
      <c r="A78" s="4" t="s">
        <v>191</v>
      </c>
      <c r="B78" s="12" t="n">
        <v>10.0544817814517</v>
      </c>
      <c r="C78" s="12" t="n">
        <v>9.88150320677104</v>
      </c>
      <c r="D78" s="10" t="n">
        <f aca="false">C78-B78</f>
        <v>-0.17297857468062</v>
      </c>
      <c r="E78" s="14" t="n">
        <f aca="false">IF(B78&lt;0.05,"new",C78/B78-1)</f>
        <v>-0.0172041263230223</v>
      </c>
      <c r="F78" s="14" t="n">
        <f aca="false">B78/B$97</f>
        <v>0.0255580961675213</v>
      </c>
      <c r="G78" s="14" t="n">
        <f aca="false">C78/C$97</f>
        <v>0.0266630174421406</v>
      </c>
      <c r="H78" s="21" t="n">
        <f aca="false">(G78-F78)*100</f>
        <v>0.110492127461929</v>
      </c>
      <c r="I78" s="21" t="n">
        <f aca="false">D78/B$97*100</f>
        <v>-0.0439704715041987</v>
      </c>
      <c r="J78" s="16" t="n">
        <v>4526</v>
      </c>
      <c r="K78" s="16" t="n">
        <v>4377</v>
      </c>
      <c r="L78" s="14" t="n">
        <f aca="false">IF(J78&lt;1,"new",K78/J78-1)</f>
        <v>-0.0329209014582412</v>
      </c>
      <c r="M78" s="14" t="n">
        <f aca="false">IF(OR(J78&lt;1,K78&lt;1,B78&lt;=0),"n/a",(C78/K78)/(B78/J78)-1)</f>
        <v>0.0162517990089106</v>
      </c>
    </row>
    <row r="79" customFormat="false" ht="15" hidden="false" customHeight="false" outlineLevel="0" collapsed="false">
      <c r="A79" s="4" t="s">
        <v>192</v>
      </c>
      <c r="B79" s="12" t="n">
        <v>6.01664155419444</v>
      </c>
      <c r="C79" s="12" t="n">
        <v>4.87528681059339</v>
      </c>
      <c r="D79" s="10" t="n">
        <f aca="false">C79-B79</f>
        <v>-1.14135474360105</v>
      </c>
      <c r="E79" s="14" t="n">
        <f aca="false">IF(B79&lt;0.05,"new",C79/B79-1)</f>
        <v>-0.18969964112377</v>
      </c>
      <c r="F79" s="14" t="n">
        <f aca="false">B79/B$97</f>
        <v>0.0152940655510745</v>
      </c>
      <c r="G79" s="14" t="n">
        <f aca="false">C79/C$97</f>
        <v>0.0131548666783023</v>
      </c>
      <c r="H79" s="21" t="n">
        <f aca="false">(G79-F79)*100</f>
        <v>-0.213919887277223</v>
      </c>
      <c r="I79" s="21" t="n">
        <f aca="false">D79/B$97*100</f>
        <v>-0.290127874636225</v>
      </c>
      <c r="J79" s="16" t="n">
        <v>26817.7096774194</v>
      </c>
      <c r="K79" s="16" t="n">
        <v>23269</v>
      </c>
      <c r="L79" s="14" t="n">
        <f aca="false">IF(J79&lt;1,"new",K79/J79-1)</f>
        <v>-0.132327097284053</v>
      </c>
      <c r="M79" s="14" t="n">
        <f aca="false">IF(OR(J79&lt;1,K79&lt;1,B79&lt;=0),"n/a",(C79/K79)/(B79/J79)-1)</f>
        <v>-0.0661223182839202</v>
      </c>
    </row>
    <row r="80" customFormat="false" ht="15" hidden="false" customHeight="false" outlineLevel="0" collapsed="false">
      <c r="A80" s="4" t="s">
        <v>193</v>
      </c>
      <c r="B80" s="12" t="n">
        <v>0.184155078737529</v>
      </c>
      <c r="C80" s="12" t="n">
        <v>4.1083812082282</v>
      </c>
      <c r="D80" s="10" t="n">
        <f aca="false">C80-B80</f>
        <v>3.92422612949067</v>
      </c>
      <c r="E80" s="14" t="n">
        <f aca="false">IF(B80&lt;0.05,"new",C80/B80-1)</f>
        <v>21.3093559862324</v>
      </c>
      <c r="F80" s="14" t="n">
        <f aca="false">B80/B$97</f>
        <v>0.000468114947584268</v>
      </c>
      <c r="G80" s="14" t="n">
        <f aca="false">C80/C$97</f>
        <v>0.0110855441243889</v>
      </c>
      <c r="H80" s="21" t="n">
        <f aca="false">(G80-F80)*100</f>
        <v>1.06174291768047</v>
      </c>
      <c r="I80" s="21" t="n">
        <f aca="false">D80/B$97*100</f>
        <v>0.99752280605497</v>
      </c>
      <c r="J80" s="16" t="n">
        <v>1102.61290322581</v>
      </c>
      <c r="K80" s="16" t="n">
        <v>24727</v>
      </c>
      <c r="L80" s="14" t="n">
        <f aca="false">IF(J80&lt;1,"new",K80/J80-1)</f>
        <v>21.4258213627454</v>
      </c>
      <c r="M80" s="14" t="n">
        <f aca="false">IF(OR(J80&lt;1,K80&lt;1,B80&lt;=0),"n/a",(C80/K80)/(B80/J80)-1)</f>
        <v>-0.00519336057436082</v>
      </c>
    </row>
    <row r="81" customFormat="false" ht="15" hidden="false" customHeight="false" outlineLevel="0" collapsed="false">
      <c r="A81" s="4" t="s">
        <v>194</v>
      </c>
      <c r="B81" s="12" t="n">
        <v>0.182173407193432</v>
      </c>
      <c r="C81" s="12" t="n">
        <v>3.98314432606574</v>
      </c>
      <c r="D81" s="10" t="n">
        <f aca="false">C81-B81</f>
        <v>3.80097091887231</v>
      </c>
      <c r="E81" s="14" t="n">
        <f aca="false">IF(B81&lt;0.05,"new",C81/B81-1)</f>
        <v>20.8645761059759</v>
      </c>
      <c r="F81" s="14" t="n">
        <f aca="false">B81/B$97</f>
        <v>0.000463077616670814</v>
      </c>
      <c r="G81" s="14" t="n">
        <f aca="false">C81/C$97</f>
        <v>0.0107476205206999</v>
      </c>
      <c r="H81" s="21" t="n">
        <f aca="false">(G81-F81)*100</f>
        <v>1.02845429040291</v>
      </c>
      <c r="I81" s="21" t="n">
        <f aca="false">D81/B$97*100</f>
        <v>0.966191817600214</v>
      </c>
      <c r="J81" s="16" t="n">
        <v>545.483870967742</v>
      </c>
      <c r="K81" s="16" t="n">
        <v>12006</v>
      </c>
      <c r="L81" s="14" t="n">
        <f aca="false">IF(J81&lt;1,"new",K81/J81-1)</f>
        <v>21.0098166765228</v>
      </c>
      <c r="M81" s="14" t="n">
        <f aca="false">IF(OR(J81&lt;1,K81&lt;1,B81&lt;=0),"n/a",(C81/K81)/(B81/J81)-1)</f>
        <v>-0.00659889960382054</v>
      </c>
    </row>
    <row r="82" customFormat="false" ht="15" hidden="false" customHeight="false" outlineLevel="0" collapsed="false">
      <c r="A82" s="4" t="s">
        <v>195</v>
      </c>
      <c r="B82" s="12" t="n">
        <v>0.130803581903709</v>
      </c>
      <c r="C82" s="12" t="n">
        <v>3.79377415544548</v>
      </c>
      <c r="D82" s="10" t="n">
        <f aca="false">C82-B82</f>
        <v>3.66297057354177</v>
      </c>
      <c r="E82" s="14" t="n">
        <f aca="false">IF(B82&lt;0.05,"new",C82/B82-1)</f>
        <v>28.0035953162069</v>
      </c>
      <c r="F82" s="14" t="n">
        <f aca="false">B82/B$97</f>
        <v>0.000332497546668045</v>
      </c>
      <c r="G82" s="14" t="n">
        <f aca="false">C82/C$97</f>
        <v>0.0102366476396903</v>
      </c>
      <c r="H82" s="21" t="n">
        <f aca="false">(G82-F82)*100</f>
        <v>0.990415009302227</v>
      </c>
      <c r="I82" s="21" t="n">
        <f aca="false">D82/B$97*100</f>
        <v>0.931112674052353</v>
      </c>
      <c r="J82" s="16" t="n">
        <v>537.935483870968</v>
      </c>
      <c r="K82" s="16" t="n">
        <v>9041.51061455787</v>
      </c>
      <c r="L82" s="14" t="n">
        <f aca="false">IF(J82&lt;1,"new",K82/J82-1)</f>
        <v>15.8077973765468</v>
      </c>
      <c r="M82" s="14" t="n">
        <f aca="false">IF(OR(J82&lt;1,K82&lt;1,B82&lt;=0),"n/a",(C82/K82)/(B82/J82)-1)</f>
        <v>0.725603579483761</v>
      </c>
    </row>
    <row r="83" customFormat="false" ht="15" hidden="false" customHeight="false" outlineLevel="0" collapsed="false">
      <c r="A83" s="4" t="s">
        <v>196</v>
      </c>
      <c r="B83" s="12" t="n">
        <v>4.10273011268669</v>
      </c>
      <c r="C83" s="12" t="n">
        <v>3.07034415255448</v>
      </c>
      <c r="D83" s="10" t="n">
        <f aca="false">C83-B83</f>
        <v>-1.03238596013221</v>
      </c>
      <c r="E83" s="14" t="n">
        <f aca="false">IF(B83&lt;0.05,"new",C83/B83-1)</f>
        <v>-0.251633895424856</v>
      </c>
      <c r="F83" s="14" t="n">
        <f aca="false">B83/B$97</f>
        <v>0.010428978146131</v>
      </c>
      <c r="G83" s="14" t="n">
        <f aca="false">C83/C$97</f>
        <v>0.00828463422820516</v>
      </c>
      <c r="H83" s="21" t="n">
        <f aca="false">(G83-F83)*100</f>
        <v>-0.214434391792587</v>
      </c>
      <c r="I83" s="21" t="n">
        <f aca="false">D83/B$97*100</f>
        <v>-0.262428439621165</v>
      </c>
      <c r="J83" s="16" t="n">
        <v>4885.90322580645</v>
      </c>
      <c r="K83" s="16" t="n">
        <v>3520</v>
      </c>
      <c r="L83" s="14" t="n">
        <f aca="false">IF(J83&lt;1,"new",K83/J83-1)</f>
        <v>-0.279560024560454</v>
      </c>
      <c r="M83" s="14" t="n">
        <f aca="false">IF(OR(J83&lt;1,K83&lt;1,B83&lt;=0),"n/a",(C83/K83)/(B83/J83)-1)</f>
        <v>0.0387626035306541</v>
      </c>
    </row>
    <row r="84" customFormat="false" ht="15" hidden="false" customHeight="false" outlineLevel="0" collapsed="false">
      <c r="A84" s="4" t="s">
        <v>197</v>
      </c>
      <c r="B84" s="12" t="n">
        <v>2.61667821136897</v>
      </c>
      <c r="C84" s="12" t="n">
        <v>1.65741766126169</v>
      </c>
      <c r="D84" s="10" t="n">
        <f aca="false">C84-B84</f>
        <v>-0.959260550107277</v>
      </c>
      <c r="E84" s="14" t="n">
        <f aca="false">IF(B84&lt;0.05,"new",C84/B84-1)</f>
        <v>-0.366594771164247</v>
      </c>
      <c r="F84" s="14" t="n">
        <f aca="false">B84/B$97</f>
        <v>0.00665149281875469</v>
      </c>
      <c r="G84" s="14" t="n">
        <f aca="false">C84/C$97</f>
        <v>0.00447216937407367</v>
      </c>
      <c r="H84" s="21" t="n">
        <f aca="false">(G84-F84)*100</f>
        <v>-0.217932344468102</v>
      </c>
      <c r="I84" s="21" t="n">
        <f aca="false">D84/B$97*100</f>
        <v>-0.243840248779201</v>
      </c>
      <c r="J84" s="16" t="n">
        <v>2815.83870967742</v>
      </c>
      <c r="K84" s="16" t="n">
        <v>1580.69194369159</v>
      </c>
      <c r="L84" s="14" t="n">
        <f aca="false">IF(J84&lt;1,"new",K84/J84-1)</f>
        <v>-0.438642583376987</v>
      </c>
      <c r="M84" s="14" t="n">
        <f aca="false">IF(OR(J84&lt;1,K84&lt;1,B84&lt;=0),"n/a",(C84/K84)/(B84/J84)-1)</f>
        <v>0.128345702896672</v>
      </c>
    </row>
    <row r="85" customFormat="false" ht="15" hidden="false" customHeight="false" outlineLevel="0" collapsed="false">
      <c r="A85" s="4" t="s">
        <v>198</v>
      </c>
      <c r="B85" s="12" t="n">
        <v>1.51343922173388</v>
      </c>
      <c r="C85" s="12" t="n">
        <v>1.63385418095709</v>
      </c>
      <c r="D85" s="10" t="n">
        <f aca="false">C85-B85</f>
        <v>0.120414959223215</v>
      </c>
      <c r="E85" s="14" t="n">
        <f aca="false">IF(B85&lt;0.05,"new",C85/B85-1)</f>
        <v>0.0795637892120051</v>
      </c>
      <c r="F85" s="14" t="n">
        <f aca="false">B85/B$97</f>
        <v>0.00384710281579408</v>
      </c>
      <c r="G85" s="14" t="n">
        <f aca="false">C85/C$97</f>
        <v>0.00440858861381763</v>
      </c>
      <c r="H85" s="21" t="n">
        <f aca="false">(G85-F85)*100</f>
        <v>0.056148579802355</v>
      </c>
      <c r="I85" s="21" t="n">
        <f aca="false">D85/B$97*100</f>
        <v>0.0306090077512751</v>
      </c>
      <c r="J85" s="16" t="n">
        <v>4246.54838709678</v>
      </c>
      <c r="K85" s="16" t="n">
        <v>3963.69982367003</v>
      </c>
      <c r="L85" s="14" t="n">
        <f aca="false">IF(J85&lt;1,"new",K85/J85-1)</f>
        <v>-0.0666066974030464</v>
      </c>
      <c r="M85" s="14" t="n">
        <f aca="false">IF(OR(J85&lt;1,K85&lt;1,B85&lt;=0),"n/a",(C85/K85)/(B85/J85)-1)</f>
        <v>0.156601173597845</v>
      </c>
    </row>
    <row r="86" customFormat="false" ht="15" hidden="false" customHeight="false" outlineLevel="0" collapsed="false">
      <c r="A86" s="4" t="s">
        <v>199</v>
      </c>
      <c r="B86" s="12" t="n">
        <v>0.88054399441955</v>
      </c>
      <c r="C86" s="12" t="n">
        <v>0.856179947689053</v>
      </c>
      <c r="D86" s="10" t="n">
        <f aca="false">C86-B86</f>
        <v>-0.0243640467304963</v>
      </c>
      <c r="E86" s="14" t="n">
        <f aca="false">IF(B86&lt;0.05,"new",C86/B86-1)</f>
        <v>-0.0276693122489092</v>
      </c>
      <c r="F86" s="14" t="n">
        <f aca="false">B86/B$97</f>
        <v>0.00223830810759686</v>
      </c>
      <c r="G86" s="14" t="n">
        <f aca="false">C86/C$97</f>
        <v>0.00231020932758507</v>
      </c>
      <c r="H86" s="21" t="n">
        <f aca="false">(G86-F86)*100</f>
        <v>0.00719012199882092</v>
      </c>
      <c r="I86" s="21" t="n">
        <f aca="false">D86/B$97*100</f>
        <v>-0.00619324459383626</v>
      </c>
      <c r="J86" s="16" t="n">
        <v>136074.032258065</v>
      </c>
      <c r="K86" s="16" t="n">
        <v>133059</v>
      </c>
      <c r="L86" s="14" t="n">
        <f aca="false">IF(J86&lt;1,"new",K86/J86-1)</f>
        <v>-0.0221572934088297</v>
      </c>
      <c r="M86" s="14" t="n">
        <f aca="false">IF(OR(J86&lt;1,K86&lt;1,B86&lt;=0),"n/a",(C86/K86)/(B86/J86)-1)</f>
        <v>-0.00563691767901486</v>
      </c>
    </row>
    <row r="87" customFormat="false" ht="15" hidden="false" customHeight="false" outlineLevel="0" collapsed="false">
      <c r="A87" s="4" t="s">
        <v>200</v>
      </c>
      <c r="B87" s="12" t="n">
        <v>0.937838590234811</v>
      </c>
      <c r="C87" s="12" t="n">
        <v>0.560338313044623</v>
      </c>
      <c r="D87" s="10" t="n">
        <f aca="false">C87-B87</f>
        <v>-0.377500277190188</v>
      </c>
      <c r="E87" s="14" t="n">
        <f aca="false">IF(B87&lt;0.05,"new",C87/B87-1)</f>
        <v>-0.402521586465824</v>
      </c>
      <c r="F87" s="14" t="n">
        <f aca="false">B87/B$97</f>
        <v>0.002383948710619</v>
      </c>
      <c r="G87" s="14" t="n">
        <f aca="false">C87/C$97</f>
        <v>0.00151194710982545</v>
      </c>
      <c r="H87" s="21" t="n">
        <f aca="false">(G87-F87)*100</f>
        <v>-0.0872001600793546</v>
      </c>
      <c r="I87" s="21" t="n">
        <f aca="false">D87/B$97*100</f>
        <v>-0.0959590817051515</v>
      </c>
      <c r="J87" s="16" t="n">
        <v>793.451612903226</v>
      </c>
      <c r="K87" s="16" t="n">
        <v>471.667922071553</v>
      </c>
      <c r="L87" s="14" t="n">
        <f aca="false">IF(J87&lt;1,"new",K87/J87-1)</f>
        <v>-0.40554923022246</v>
      </c>
      <c r="M87" s="14" t="n">
        <f aca="false">IF(OR(J87&lt;1,K87&lt;1,B87&lt;=0),"n/a",(C87/K87)/(B87/J87)-1)</f>
        <v>0.00509317829257583</v>
      </c>
    </row>
    <row r="88" customFormat="false" ht="15" hidden="false" customHeight="false" outlineLevel="0" collapsed="false">
      <c r="A88" s="4" t="s">
        <v>201</v>
      </c>
      <c r="B88" s="12" t="n">
        <v>0.418808242649731</v>
      </c>
      <c r="C88" s="12" t="n">
        <v>0.375830938506141</v>
      </c>
      <c r="D88" s="10" t="n">
        <f aca="false">C88-B88</f>
        <v>-0.0429773041435894</v>
      </c>
      <c r="E88" s="14" t="n">
        <f aca="false">IF(B88&lt;0.05,"new",C88/B88-1)</f>
        <v>-0.102618095268802</v>
      </c>
      <c r="F88" s="14" t="n">
        <f aca="false">B88/B$97</f>
        <v>0.00106459403617786</v>
      </c>
      <c r="G88" s="14" t="n">
        <f aca="false">C88/C$97</f>
        <v>0.00101409539206735</v>
      </c>
      <c r="H88" s="21" t="n">
        <f aca="false">(G88-F88)*100</f>
        <v>-0.00504986441105071</v>
      </c>
      <c r="I88" s="21" t="n">
        <f aca="false">D88/B$97*100</f>
        <v>-0.0109246612227098</v>
      </c>
      <c r="J88" s="16" t="n">
        <v>744.612903225807</v>
      </c>
      <c r="K88" s="16" t="n">
        <v>652.538296501077</v>
      </c>
      <c r="L88" s="14" t="n">
        <f aca="false">IF(J88&lt;1,"new",K88/J88-1)</f>
        <v>-0.123654326061024</v>
      </c>
      <c r="M88" s="14" t="n">
        <f aca="false">IF(OR(J88&lt;1,K88&lt;1,B88&lt;=0),"n/a",(C88/K88)/(B88/J88)-1)</f>
        <v>0.0240044898010048</v>
      </c>
    </row>
    <row r="89" customFormat="false" ht="15" hidden="false" customHeight="false" outlineLevel="0" collapsed="false">
      <c r="A89" s="4" t="s">
        <v>202</v>
      </c>
      <c r="B89" s="12" t="n">
        <v>0.31191700469167</v>
      </c>
      <c r="C89" s="12" t="n">
        <v>0.153945801358179</v>
      </c>
      <c r="D89" s="10" t="n">
        <f aca="false">C89-B89</f>
        <v>-0.157971203333491</v>
      </c>
      <c r="E89" s="14" t="n">
        <f aca="false">IF(B89&lt;0.05,"new",C89/B89-1)</f>
        <v>-0.506452681185643</v>
      </c>
      <c r="F89" s="14" t="n">
        <f aca="false">B89/B$97</f>
        <v>0.000792880724783002</v>
      </c>
      <c r="G89" s="14" t="n">
        <f aca="false">C89/C$97</f>
        <v>0.000415388175348141</v>
      </c>
      <c r="H89" s="21" t="n">
        <f aca="false">(G89-F89)*100</f>
        <v>-0.0377492549434861</v>
      </c>
      <c r="I89" s="21" t="n">
        <f aca="false">D89/B$97*100</f>
        <v>-0.0401556568926768</v>
      </c>
      <c r="J89" s="16" t="n">
        <v>177.41935483871</v>
      </c>
      <c r="K89" s="16" t="n">
        <v>87.0291090941772</v>
      </c>
      <c r="L89" s="14" t="n">
        <f aca="false">IF(J89&lt;1,"new",K89/J89-1)</f>
        <v>-0.509472294196456</v>
      </c>
      <c r="M89" s="14" t="n">
        <f aca="false">IF(OR(J89&lt;1,K89&lt;1,B89&lt;=0),"n/a",(C89/K89)/(B89/J89)-1)</f>
        <v>0.00615584599011809</v>
      </c>
    </row>
    <row r="90" customFormat="false" ht="15" hidden="false" customHeight="false" outlineLevel="0" collapsed="false">
      <c r="A90" s="4" t="s">
        <v>168</v>
      </c>
      <c r="B90" s="12" t="n">
        <v>1.93916022790448</v>
      </c>
      <c r="C90" s="12" t="n">
        <v>0.148260048750397</v>
      </c>
      <c r="D90" s="10" t="n">
        <f aca="false">C90-B90</f>
        <v>-1.79090017915409</v>
      </c>
      <c r="E90" s="14" t="n">
        <f aca="false">IF(B90&lt;0.05,"new",C90/B90-1)</f>
        <v>-0.923544198866634</v>
      </c>
      <c r="F90" s="14" t="n">
        <f aca="false">B90/B$97</f>
        <v>0.00492926882422175</v>
      </c>
      <c r="G90" s="14" t="n">
        <f aca="false">C90/C$97</f>
        <v>0.000400046448711946</v>
      </c>
      <c r="H90" s="21" t="n">
        <f aca="false">(G90-F90)*100</f>
        <v>-0.452922237550981</v>
      </c>
      <c r="I90" s="21" t="n">
        <f aca="false">D90/B$97*100</f>
        <v>-0.455239762726416</v>
      </c>
      <c r="J90" s="16" t="n">
        <v>2477</v>
      </c>
      <c r="K90" s="16" t="n">
        <v>122</v>
      </c>
      <c r="L90" s="14" t="n">
        <f aca="false">IF(J90&lt;1,"new",K90/J90-1)</f>
        <v>-0.95074687121518</v>
      </c>
      <c r="M90" s="14" t="n">
        <f aca="false">IF(OR(J90&lt;1,K90&lt;1,B90&lt;=0),"n/a",(C90/K90)/(B90/J90)-1)</f>
        <v>0.552303437765139</v>
      </c>
    </row>
    <row r="91" customFormat="false" ht="15" hidden="false" customHeight="false" outlineLevel="0" collapsed="false">
      <c r="A91" s="4" t="s">
        <v>203</v>
      </c>
      <c r="B91" s="12" t="n">
        <v>6.04509256152293</v>
      </c>
      <c r="C91" s="12" t="n">
        <v>0.0291799540945038</v>
      </c>
      <c r="D91" s="10" t="n">
        <f aca="false">C91-B91</f>
        <v>-6.01591260742843</v>
      </c>
      <c r="E91" s="14" t="n">
        <f aca="false">IF(B91&lt;0.05,"new",C91/B91-1)</f>
        <v>-0.995172951646723</v>
      </c>
      <c r="F91" s="14" t="n">
        <f aca="false">B91/B$97</f>
        <v>0.0153663868896746</v>
      </c>
      <c r="G91" s="14" t="n">
        <f aca="false">C91/C$97</f>
        <v>7.87355535592494E-005</v>
      </c>
      <c r="H91" s="21" t="n">
        <f aca="false">(G91-F91)*100</f>
        <v>-1.52876513361153</v>
      </c>
      <c r="I91" s="21" t="n">
        <f aca="false">D91/B$97*100</f>
        <v>-1.5292212597143</v>
      </c>
      <c r="J91" s="16" t="n">
        <v>35114.6774193548</v>
      </c>
      <c r="K91" s="16" t="n">
        <v>194</v>
      </c>
      <c r="L91" s="14" t="n">
        <f aca="false">IF(J91&lt;1,"new",K91/J91-1)</f>
        <v>-0.994475244705137</v>
      </c>
      <c r="M91" s="14" t="n">
        <f aca="false">IF(OR(J91&lt;1,K91&lt;1,B91&lt;=0),"n/a",(C91/K91)/(B91/J91)-1)</f>
        <v>-0.126287392716829</v>
      </c>
    </row>
    <row r="92" customFormat="false" ht="15" hidden="false" customHeight="false" outlineLevel="0" collapsed="false">
      <c r="A92" s="4" t="s">
        <v>204</v>
      </c>
      <c r="B92" s="12" t="n">
        <v>4.83317062026593</v>
      </c>
      <c r="C92" s="12" t="n">
        <v>0.0185620794921831</v>
      </c>
      <c r="D92" s="10" t="n">
        <f aca="false">C92-B92</f>
        <v>-4.81460854077375</v>
      </c>
      <c r="E92" s="14" t="n">
        <f aca="false">IF(B92&lt;0.05,"new",C92/B92-1)</f>
        <v>-0.996159440468675</v>
      </c>
      <c r="F92" s="14" t="n">
        <f aca="false">B92/B$97</f>
        <v>0.0122857291098458</v>
      </c>
      <c r="G92" s="14" t="n">
        <f aca="false">C92/C$97</f>
        <v>5.00856032636155E-005</v>
      </c>
      <c r="H92" s="21" t="n">
        <f aca="false">(G92-F92)*100</f>
        <v>-1.22356435065822</v>
      </c>
      <c r="I92" s="21" t="n">
        <f aca="false">D92/B$97*100</f>
        <v>-1.22385450358137</v>
      </c>
      <c r="J92" s="16" t="n">
        <v>16878.7096774194</v>
      </c>
      <c r="K92" s="16" t="n">
        <v>63</v>
      </c>
      <c r="L92" s="14" t="n">
        <f aca="false">IF(J92&lt;1,"new",K92/J92-1)</f>
        <v>-0.996267487195169</v>
      </c>
      <c r="M92" s="14" t="n">
        <f aca="false">IF(OR(J92&lt;1,K92&lt;1,B92&lt;=0),"n/a",(C92/K92)/(B92/J92)-1)</f>
        <v>0.0289474496521174</v>
      </c>
    </row>
    <row r="93" customFormat="false" ht="15" hidden="false" customHeight="false" outlineLevel="0" collapsed="false">
      <c r="A93" s="4" t="s">
        <v>205</v>
      </c>
      <c r="B93" s="12" t="n">
        <v>5.74574364014267</v>
      </c>
      <c r="C93" s="12" t="n">
        <v>0.00143302235687712</v>
      </c>
      <c r="D93" s="10" t="n">
        <f aca="false">C93-B93</f>
        <v>-5.74431061778579</v>
      </c>
      <c r="E93" s="14" t="n">
        <f aca="false">IF(B93&lt;0.05,"new",C93/B93-1)</f>
        <v>-0.999750594101194</v>
      </c>
      <c r="F93" s="14" t="n">
        <f aca="false">B93/B$97</f>
        <v>0.0146054537370187</v>
      </c>
      <c r="G93" s="14" t="n">
        <f aca="false">C93/C$97</f>
        <v>3.86668903474226E-006</v>
      </c>
      <c r="H93" s="21" t="n">
        <f aca="false">(G93-F93)*100</f>
        <v>-1.4601587047984</v>
      </c>
      <c r="I93" s="21" t="n">
        <f aca="false">D93/B$97*100</f>
        <v>-1.4601811050702</v>
      </c>
      <c r="J93" s="16" t="n">
        <v>17920.2903225806</v>
      </c>
      <c r="K93" s="16" t="n">
        <v>4</v>
      </c>
      <c r="L93" s="14" t="n">
        <f aca="false">IF(J93&lt;1,"new",K93/J93-1)</f>
        <v>-0.99977678933053</v>
      </c>
      <c r="M93" s="14" t="n">
        <f aca="false">IF(OR(J93&lt;1,K93&lt;1,B93&lt;=0),"n/a",(C93/K93)/(B93/J93)-1)</f>
        <v>0.117356528690738</v>
      </c>
    </row>
    <row r="94" customFormat="false" ht="15" hidden="false" customHeight="false" outlineLevel="0" collapsed="false">
      <c r="A94" s="4" t="s">
        <v>206</v>
      </c>
      <c r="B94" s="12" t="n">
        <v>0.450825545248231</v>
      </c>
      <c r="C94" s="12" t="n">
        <v>0</v>
      </c>
      <c r="D94" s="10" t="n">
        <f aca="false">C94-B94</f>
        <v>-0.450825545248231</v>
      </c>
      <c r="E94" s="14" t="n">
        <f aca="false">IF(B94&lt;0.05,"new",C94/B94-1)</f>
        <v>-1</v>
      </c>
      <c r="F94" s="14" t="n">
        <f aca="false">B94/B$97</f>
        <v>0.00114598075670947</v>
      </c>
      <c r="G94" s="14" t="n">
        <f aca="false">C94/C$97</f>
        <v>0</v>
      </c>
      <c r="H94" s="21" t="n">
        <f aca="false">(G94-F94)*100</f>
        <v>-0.114598075670947</v>
      </c>
      <c r="I94" s="21" t="n">
        <f aca="false">D94/B$97*100</f>
        <v>-0.114598075670947</v>
      </c>
      <c r="J94" s="16" t="n">
        <v>1430</v>
      </c>
      <c r="K94" s="16" t="n">
        <v>0</v>
      </c>
      <c r="L94" s="14" t="n">
        <f aca="false">IF(J94&lt;1,"new",K94/J94-1)</f>
        <v>-1</v>
      </c>
      <c r="M94" s="14" t="str">
        <f aca="false">IF(OR(J94&lt;1,K94&lt;1,B94&lt;=0),"n/a",(C94/K94)/(B94/J94)-1)</f>
        <v>n/a</v>
      </c>
    </row>
    <row r="95" customFormat="false" ht="15" hidden="false" customHeight="false" outlineLevel="0" collapsed="false">
      <c r="A95" s="4" t="s">
        <v>207</v>
      </c>
      <c r="B95" s="12" t="n">
        <v>1.39049563277004</v>
      </c>
      <c r="C95" s="12" t="n">
        <v>0</v>
      </c>
      <c r="D95" s="10" t="n">
        <f aca="false">C95-B95</f>
        <v>-1.39049563277004</v>
      </c>
      <c r="E95" s="14" t="n">
        <f aca="false">IF(B95&lt;0.05,"new",C95/B95-1)</f>
        <v>-1</v>
      </c>
      <c r="F95" s="14" t="n">
        <f aca="false">B95/B$97</f>
        <v>0.00353458506120284</v>
      </c>
      <c r="G95" s="14" t="n">
        <f aca="false">C95/C$97</f>
        <v>0</v>
      </c>
      <c r="H95" s="21" t="n">
        <f aca="false">(G95-F95)*100</f>
        <v>-0.353458506120284</v>
      </c>
      <c r="I95" s="21" t="n">
        <f aca="false">D95/B$97*100</f>
        <v>-0.353458506120284</v>
      </c>
      <c r="J95" s="16" t="n">
        <v>1802</v>
      </c>
      <c r="K95" s="16" t="n">
        <v>0</v>
      </c>
      <c r="L95" s="14" t="n">
        <f aca="false">IF(J95&lt;1,"new",K95/J95-1)</f>
        <v>-1</v>
      </c>
      <c r="M95" s="14" t="str">
        <f aca="false">IF(OR(J95&lt;1,K95&lt;1,B95&lt;=0),"n/a",(C95/K95)/(B95/J95)-1)</f>
        <v>n/a</v>
      </c>
    </row>
    <row r="96" customFormat="false" ht="15" hidden="false" customHeight="false" outlineLevel="0" collapsed="false">
      <c r="A96" s="4" t="s">
        <v>174</v>
      </c>
      <c r="B96" s="12" t="n">
        <v>1.03658456201433</v>
      </c>
      <c r="C96" s="12" t="n">
        <v>0.802722121260479</v>
      </c>
      <c r="D96" s="10" t="n">
        <f aca="false">C96-B96</f>
        <v>-0.233862440753847</v>
      </c>
      <c r="E96" s="14" t="n">
        <f aca="false">IF(B96&lt;0.05,"new",C96/B96-1)</f>
        <v>-0.225608647209059</v>
      </c>
      <c r="F96" s="14" t="n">
        <f aca="false">B96/B$97</f>
        <v>0.00263495707661474</v>
      </c>
      <c r="G96" s="14" t="n">
        <f aca="false">C96/C$97</f>
        <v>0.00216596538730002</v>
      </c>
      <c r="H96" s="21" t="n">
        <f aca="false">(G96-F96)*100</f>
        <v>-0.0468991689314723</v>
      </c>
      <c r="I96" s="21" t="n">
        <f aca="false">D96/B$97*100</f>
        <v>-0.0594469101508988</v>
      </c>
      <c r="J96" s="16" t="n">
        <v>39137.8709677419</v>
      </c>
      <c r="K96" s="16" t="n">
        <v>25498.8262397873</v>
      </c>
      <c r="L96" s="14" t="n">
        <f aca="false">IF(J96&lt;1,"new",K96/J96-1)</f>
        <v>-0.348487140222732</v>
      </c>
      <c r="M96" s="14" t="n">
        <f aca="false">IF(OR(J96&lt;1,K96&lt;1,B96&lt;=0),"n/a",(C96/K96)/(B96/J96)-1)</f>
        <v>0.188604862006379</v>
      </c>
    </row>
    <row r="97" customFormat="false" ht="15" hidden="false" customHeight="false" outlineLevel="0" collapsed="false">
      <c r="A97" s="7" t="s">
        <v>84</v>
      </c>
      <c r="B97" s="13" t="n">
        <f aca="false">SUM(B65:B96)</f>
        <v>393.397133947273</v>
      </c>
      <c r="C97" s="13" t="n">
        <f aca="false">SUM(C65:C96)</f>
        <v>370.6070863215</v>
      </c>
      <c r="D97" s="13" t="n">
        <f aca="false">SUM(D65:D96)</f>
        <v>-22.7900476257736</v>
      </c>
      <c r="E97" s="19" t="n">
        <f aca="false">C97/B97-1</f>
        <v>-0.0579314022883252</v>
      </c>
      <c r="I97" s="22" t="n">
        <f aca="false">SUM(I65:I96)</f>
        <v>-5.79314022883251</v>
      </c>
      <c r="J97" s="23" t="n">
        <f aca="false">SUM(J65:J96)</f>
        <v>944211.225806452</v>
      </c>
      <c r="K97" s="23" t="n">
        <f aca="false">SUM(K65:K96)</f>
        <v>867285.530394081</v>
      </c>
      <c r="L97" s="19" t="n">
        <f aca="false">K97/J97-1</f>
        <v>-0.0814708545184563</v>
      </c>
      <c r="M97" s="19" t="n">
        <f aca="false">(C97/K97)/(B97/J97)-1</f>
        <v>0.0256273329441175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0"/>
    <col collapsed="false" customWidth="true" hidden="false" outlineLevel="0" max="4" min="4" style="0" width="14"/>
    <col collapsed="false" customWidth="true" hidden="false" outlineLevel="0" max="5" min="5" style="0" width="12"/>
    <col collapsed="false" customWidth="true" hidden="false" outlineLevel="0" max="6" min="6" style="0" width="13"/>
    <col collapsed="false" customWidth="true" hidden="false" outlineLevel="0" max="7" min="7" style="0" width="16"/>
    <col collapsed="false" customWidth="true" hidden="false" outlineLevel="0" max="9" min="8" style="0" width="13"/>
    <col collapsed="false" customWidth="true" hidden="false" outlineLevel="0" max="11" min="10" style="0" width="16"/>
    <col collapsed="false" customWidth="true" hidden="false" outlineLevel="0" max="12" min="12" style="0" width="11"/>
    <col collapsed="false" customWidth="true" hidden="false" outlineLevel="0" max="13" min="13" style="0" width="15"/>
    <col collapsed="false" customWidth="true" hidden="false" outlineLevel="0" max="14" min="14" style="0" width="14"/>
  </cols>
  <sheetData>
    <row r="1" customFormat="false" ht="15" hidden="false" customHeight="false" outlineLevel="0" collapsed="false">
      <c r="A1" s="1" t="s">
        <v>208</v>
      </c>
    </row>
    <row r="2" customFormat="false" ht="15" hidden="false" customHeight="false" outlineLevel="0" collapsed="false">
      <c r="A2" s="2" t="s">
        <v>209</v>
      </c>
    </row>
    <row r="3" customFormat="false" ht="15" hidden="false" customHeight="false" outlineLevel="0" collapsed="false">
      <c r="A3" s="7" t="s">
        <v>210</v>
      </c>
      <c r="C3" s="24" t="n">
        <f aca="false">Model!J19/SUM(F6:F84)</f>
        <v>1.01544711501255</v>
      </c>
    </row>
    <row r="5" customFormat="false" ht="42" hidden="false" customHeight="true" outlineLevel="0" collapsed="false">
      <c r="A5" s="3" t="s">
        <v>211</v>
      </c>
      <c r="B5" s="3" t="s">
        <v>212</v>
      </c>
      <c r="C5" s="3" t="s">
        <v>142</v>
      </c>
      <c r="D5" s="3" t="s">
        <v>98</v>
      </c>
      <c r="E5" s="3" t="s">
        <v>213</v>
      </c>
      <c r="F5" s="3" t="s">
        <v>214</v>
      </c>
      <c r="G5" s="3" t="s">
        <v>215</v>
      </c>
      <c r="H5" s="3" t="s">
        <v>216</v>
      </c>
      <c r="I5" s="3" t="s">
        <v>217</v>
      </c>
      <c r="J5" s="3" t="s">
        <v>218</v>
      </c>
      <c r="K5" s="3" t="s">
        <v>219</v>
      </c>
      <c r="L5" s="3" t="s">
        <v>220</v>
      </c>
      <c r="M5" s="3" t="s">
        <v>221</v>
      </c>
      <c r="N5" s="3" t="s">
        <v>222</v>
      </c>
    </row>
    <row r="6" customFormat="false" ht="15" hidden="false" customHeight="false" outlineLevel="0" collapsed="false">
      <c r="A6" s="25" t="n">
        <f aca="false">ROW()-5</f>
        <v>1</v>
      </c>
      <c r="B6" s="4" t="s">
        <v>78</v>
      </c>
      <c r="C6" s="4" t="s">
        <v>151</v>
      </c>
      <c r="D6" s="12" t="n">
        <v>67.8865458309083</v>
      </c>
      <c r="E6" s="26" t="n">
        <v>2.79422910695613</v>
      </c>
      <c r="F6" s="10" t="n">
        <f aca="false">D6*E6</f>
        <v>189.690562331435</v>
      </c>
      <c r="G6" s="10" t="n">
        <f aca="false">F6*$C$3</f>
        <v>192.620734264564</v>
      </c>
      <c r="H6" s="14" t="n">
        <f aca="false">G6/SUM(G$6:G$84)</f>
        <v>0.166503226523183</v>
      </c>
      <c r="I6" s="14" t="n">
        <f aca="false">SUM(H$6:H6)</f>
        <v>0.166503226523183</v>
      </c>
      <c r="J6" s="4" t="str">
        <f aca="false">IF(I6-H6&lt;0.8,"A - top 80%",IF(I6-H6&lt;0.95,"B - next 15%","C - tail"))</f>
        <v>A - top 80%</v>
      </c>
      <c r="K6" s="12" t="n">
        <v>35.0476433079369</v>
      </c>
      <c r="L6" s="25" t="n">
        <f aca="false">RANK(K6,K$6:K$84)</f>
        <v>1</v>
      </c>
      <c r="M6" s="12" t="n">
        <v>176.674293122823</v>
      </c>
      <c r="N6" s="14" t="n">
        <f aca="false">IF(M6&lt;0.05,"n/a",G6/M6-1)</f>
        <v>0.0902589780317074</v>
      </c>
    </row>
    <row r="7" customFormat="false" ht="15" hidden="false" customHeight="false" outlineLevel="0" collapsed="false">
      <c r="A7" s="25" t="n">
        <f aca="false">ROW()-5</f>
        <v>2</v>
      </c>
      <c r="B7" s="4" t="s">
        <v>78</v>
      </c>
      <c r="C7" s="4" t="s">
        <v>152</v>
      </c>
      <c r="D7" s="12" t="n">
        <v>58.0449592729565</v>
      </c>
      <c r="E7" s="26" t="n">
        <v>2.9718005815375</v>
      </c>
      <c r="F7" s="10" t="n">
        <f aca="false">D7*E7</f>
        <v>172.498043722693</v>
      </c>
      <c r="G7" s="10" t="n">
        <f aca="false">F7*$C$3</f>
        <v>175.162640843516</v>
      </c>
      <c r="H7" s="14" t="n">
        <f aca="false">G7/SUM(G$6:G$84)</f>
        <v>0.1514122816431</v>
      </c>
      <c r="I7" s="14" t="n">
        <f aca="false">SUM(H$6:H7)</f>
        <v>0.317915508166283</v>
      </c>
      <c r="J7" s="4" t="str">
        <f aca="false">IF(I7-H7&lt;0.8,"A - top 80%",IF(I7-H7&lt;0.95,"B - next 15%","C - tail"))</f>
        <v>A - top 80%</v>
      </c>
      <c r="K7" s="12" t="n">
        <v>30.9433987725949</v>
      </c>
      <c r="L7" s="25" t="n">
        <f aca="false">RANK(K7,K$6:K$84)</f>
        <v>2</v>
      </c>
      <c r="M7" s="12" t="n">
        <v>174.479606993049</v>
      </c>
      <c r="N7" s="14" t="n">
        <f aca="false">IF(M7&lt;0.05,"n/a",G7/M7-1)</f>
        <v>0.00391469159197944</v>
      </c>
    </row>
    <row r="8" customFormat="false" ht="15" hidden="false" customHeight="false" outlineLevel="0" collapsed="false">
      <c r="A8" s="25" t="n">
        <f aca="false">ROW()-5</f>
        <v>3</v>
      </c>
      <c r="B8" s="4" t="s">
        <v>78</v>
      </c>
      <c r="C8" s="4" t="s">
        <v>153</v>
      </c>
      <c r="D8" s="12" t="n">
        <v>53.9101922502404</v>
      </c>
      <c r="E8" s="26" t="n">
        <v>2.77673633459706</v>
      </c>
      <c r="F8" s="10" t="n">
        <f aca="false">D8*E8</f>
        <v>149.694389626356</v>
      </c>
      <c r="G8" s="10" t="n">
        <f aca="false">F8*$C$3</f>
        <v>152.006736079647</v>
      </c>
      <c r="H8" s="14" t="n">
        <f aca="false">G8/SUM(G$6:G$84)</f>
        <v>0.131396093505471</v>
      </c>
      <c r="I8" s="14" t="n">
        <f aca="false">SUM(H$6:H8)</f>
        <v>0.449311601671754</v>
      </c>
      <c r="J8" s="4" t="str">
        <f aca="false">IF(I8-H8&lt;0.8,"A - top 80%",IF(I8-H8&lt;0.95,"B - next 15%","C - tail"))</f>
        <v>A - top 80%</v>
      </c>
      <c r="K8" s="12" t="n">
        <v>14.8836743823361</v>
      </c>
      <c r="L8" s="25" t="n">
        <f aca="false">RANK(K8,K$6:K$84)</f>
        <v>4</v>
      </c>
      <c r="M8" s="12" t="n">
        <v>145.756467317166</v>
      </c>
      <c r="N8" s="14" t="n">
        <f aca="false">IF(M8&lt;0.05,"n/a",G8/M8-1)</f>
        <v>0.0428815878809694</v>
      </c>
    </row>
    <row r="9" customFormat="false" ht="15" hidden="false" customHeight="false" outlineLevel="0" collapsed="false">
      <c r="A9" s="25" t="n">
        <f aca="false">ROW()-5</f>
        <v>4</v>
      </c>
      <c r="B9" s="4" t="s">
        <v>78</v>
      </c>
      <c r="C9" s="4" t="s">
        <v>154</v>
      </c>
      <c r="D9" s="12" t="n">
        <v>43.2874811722537</v>
      </c>
      <c r="E9" s="26" t="n">
        <v>2.7327911394255</v>
      </c>
      <c r="F9" s="10" t="n">
        <f aca="false">D9*E9</f>
        <v>118.295644995583</v>
      </c>
      <c r="G9" s="10" t="n">
        <f aca="false">F9*$C$3</f>
        <v>120.122971429313</v>
      </c>
      <c r="H9" s="14" t="n">
        <f aca="false">G9/SUM(G$6:G$84)</f>
        <v>0.103835458830001</v>
      </c>
      <c r="I9" s="14" t="n">
        <f aca="false">SUM(H$6:H9)</f>
        <v>0.553147060501756</v>
      </c>
      <c r="J9" s="4" t="str">
        <f aca="false">IF(I9-H9&lt;0.8,"A - top 80%",IF(I9-H9&lt;0.95,"B - next 15%","C - tail"))</f>
        <v>A - top 80%</v>
      </c>
      <c r="K9" s="12" t="n">
        <v>27.0004750273279</v>
      </c>
      <c r="L9" s="25" t="n">
        <f aca="false">RANK(K9,K$6:K$84)</f>
        <v>3</v>
      </c>
      <c r="M9" s="12" t="n">
        <v>109.513657603995</v>
      </c>
      <c r="N9" s="14" t="n">
        <f aca="false">IF(M9&lt;0.05,"n/a",G9/M9-1)</f>
        <v>0.0968766276045885</v>
      </c>
    </row>
    <row r="10" customFormat="false" ht="15" hidden="false" customHeight="false" outlineLevel="0" collapsed="false">
      <c r="A10" s="25" t="n">
        <f aca="false">ROW()-5</f>
        <v>5</v>
      </c>
      <c r="B10" s="4" t="s">
        <v>78</v>
      </c>
      <c r="C10" s="4" t="s">
        <v>155</v>
      </c>
      <c r="D10" s="12" t="n">
        <v>28.8480823080358</v>
      </c>
      <c r="E10" s="26" t="n">
        <v>2.76151732931371</v>
      </c>
      <c r="F10" s="10" t="n">
        <f aca="false">D10*E10</f>
        <v>79.6644792111091</v>
      </c>
      <c r="G10" s="10" t="n">
        <f aca="false">F10*$C$3</f>
        <v>80.8950655838976</v>
      </c>
      <c r="H10" s="14" t="n">
        <f aca="false">G10/SUM(G$6:G$84)</f>
        <v>0.069926477442576</v>
      </c>
      <c r="I10" s="14" t="n">
        <f aca="false">SUM(H$6:H10)</f>
        <v>0.623073537944332</v>
      </c>
      <c r="J10" s="4" t="str">
        <f aca="false">IF(I10-H10&lt;0.8,"A - top 80%",IF(I10-H10&lt;0.95,"B - next 15%","C - tail"))</f>
        <v>A - top 80%</v>
      </c>
      <c r="K10" s="12" t="n">
        <v>12.2569363420842</v>
      </c>
      <c r="L10" s="25" t="n">
        <f aca="false">RANK(K10,K$6:K$84)</f>
        <v>7</v>
      </c>
      <c r="M10" s="12" t="n">
        <v>73.4248883288927</v>
      </c>
      <c r="N10" s="14" t="n">
        <f aca="false">IF(M10&lt;0.05,"n/a",G10/M10-1)</f>
        <v>0.10173903461104</v>
      </c>
    </row>
    <row r="11" customFormat="false" ht="15" hidden="false" customHeight="false" outlineLevel="0" collapsed="false">
      <c r="A11" s="25" t="n">
        <f aca="false">ROW()-5</f>
        <v>6</v>
      </c>
      <c r="B11" s="4" t="s">
        <v>78</v>
      </c>
      <c r="C11" s="4" t="s">
        <v>156</v>
      </c>
      <c r="D11" s="12" t="n">
        <v>18.904527708525</v>
      </c>
      <c r="E11" s="26" t="n">
        <v>2.66184957154953</v>
      </c>
      <c r="F11" s="10" t="n">
        <f aca="false">D11*E11</f>
        <v>50.3210089812835</v>
      </c>
      <c r="G11" s="10" t="n">
        <f aca="false">F11*$C$3</f>
        <v>51.0983233945647</v>
      </c>
      <c r="H11" s="14" t="n">
        <f aca="false">G11/SUM(G$6:G$84)</f>
        <v>0.0441698851767137</v>
      </c>
      <c r="I11" s="14" t="n">
        <f aca="false">SUM(H$6:H11)</f>
        <v>0.667243423121045</v>
      </c>
      <c r="J11" s="4" t="str">
        <f aca="false">IF(I11-H11&lt;0.8,"A - top 80%",IF(I11-H11&lt;0.95,"B - next 15%","C - tail"))</f>
        <v>A - top 80%</v>
      </c>
      <c r="K11" s="12" t="n">
        <v>-5.63763917531437</v>
      </c>
      <c r="L11" s="25" t="n">
        <f aca="false">RANK(K11,K$6:K$84)</f>
        <v>75</v>
      </c>
      <c r="M11" s="12" t="n">
        <v>51.9061294538691</v>
      </c>
      <c r="N11" s="14" t="n">
        <f aca="false">IF(M11&lt;0.05,"n/a",G11/M11-1)</f>
        <v>-0.0155628259668704</v>
      </c>
    </row>
    <row r="12" customFormat="false" ht="15" hidden="false" customHeight="false" outlineLevel="0" collapsed="false">
      <c r="A12" s="25" t="n">
        <f aca="false">ROW()-5</f>
        <v>7</v>
      </c>
      <c r="B12" s="4" t="s">
        <v>78</v>
      </c>
      <c r="C12" s="4" t="s">
        <v>157</v>
      </c>
      <c r="D12" s="12" t="n">
        <v>13.8829746613042</v>
      </c>
      <c r="E12" s="26" t="n">
        <v>2.76512250908565</v>
      </c>
      <c r="F12" s="10" t="n">
        <f aca="false">D12*E12</f>
        <v>38.3881257290378</v>
      </c>
      <c r="G12" s="10" t="n">
        <f aca="false">F12*$C$3</f>
        <v>38.9811115222903</v>
      </c>
      <c r="H12" s="14" t="n">
        <f aca="false">G12/SUM(G$6:G$84)</f>
        <v>0.0336956499865</v>
      </c>
      <c r="I12" s="14" t="n">
        <f aca="false">SUM(H$6:H12)</f>
        <v>0.700939073107545</v>
      </c>
      <c r="J12" s="4" t="str">
        <f aca="false">IF(I12-H12&lt;0.8,"A - top 80%",IF(I12-H12&lt;0.95,"B - next 15%","C - tail"))</f>
        <v>A - top 80%</v>
      </c>
      <c r="K12" s="12" t="n">
        <v>3.37172523911947</v>
      </c>
      <c r="L12" s="25" t="n">
        <f aca="false">RANK(K12,K$6:K$84)</f>
        <v>19</v>
      </c>
      <c r="M12" s="12" t="n">
        <v>37.379827396087</v>
      </c>
      <c r="N12" s="14" t="n">
        <f aca="false">IF(M12&lt;0.05,"n/a",G12/M12-1)</f>
        <v>0.0428381894125856</v>
      </c>
    </row>
    <row r="13" customFormat="false" ht="15" hidden="false" customHeight="false" outlineLevel="0" collapsed="false">
      <c r="A13" s="25" t="n">
        <f aca="false">ROW()-5</f>
        <v>8</v>
      </c>
      <c r="B13" s="4" t="s">
        <v>78</v>
      </c>
      <c r="C13" s="4" t="s">
        <v>158</v>
      </c>
      <c r="D13" s="12" t="n">
        <v>11.8965189150113</v>
      </c>
      <c r="E13" s="26" t="n">
        <v>2.75570799429275</v>
      </c>
      <c r="F13" s="10" t="n">
        <f aca="false">D13*E13</f>
        <v>32.7833322783516</v>
      </c>
      <c r="G13" s="10" t="n">
        <f aca="false">F13*$C$3</f>
        <v>33.2897401825497</v>
      </c>
      <c r="H13" s="14" t="n">
        <f aca="false">G13/SUM(G$6:G$84)</f>
        <v>0.0287759735299311</v>
      </c>
      <c r="I13" s="14" t="n">
        <f aca="false">SUM(H$6:H13)</f>
        <v>0.729715046637476</v>
      </c>
      <c r="J13" s="4" t="str">
        <f aca="false">IF(I13-H13&lt;0.8,"A - top 80%",IF(I13-H13&lt;0.95,"B - next 15%","C - tail"))</f>
        <v>A - top 80%</v>
      </c>
      <c r="K13" s="12" t="n">
        <v>-7.31858660763982</v>
      </c>
      <c r="L13" s="25" t="n">
        <f aca="false">RANK(K13,K$6:K$84)</f>
        <v>78</v>
      </c>
      <c r="M13" s="12" t="n">
        <v>38.8915071174875</v>
      </c>
      <c r="N13" s="14" t="n">
        <f aca="false">IF(M13&lt;0.05,"n/a",G13/M13-1)</f>
        <v>-0.144035738137259</v>
      </c>
    </row>
    <row r="14" customFormat="false" ht="15" hidden="false" customHeight="false" outlineLevel="0" collapsed="false">
      <c r="A14" s="25" t="n">
        <f aca="false">ROW()-5</f>
        <v>9</v>
      </c>
      <c r="B14" s="4" t="s">
        <v>78</v>
      </c>
      <c r="C14" s="4" t="s">
        <v>159</v>
      </c>
      <c r="D14" s="12" t="n">
        <v>10.4067137172061</v>
      </c>
      <c r="E14" s="26" t="n">
        <v>2.95125111409811</v>
      </c>
      <c r="F14" s="10" t="n">
        <f aca="false">D14*E14</f>
        <v>30.7128254520044</v>
      </c>
      <c r="G14" s="10" t="n">
        <f aca="false">F14*$C$3</f>
        <v>31.1872499991218</v>
      </c>
      <c r="H14" s="14" t="n">
        <f aca="false">G14/SUM(G$6:G$84)</f>
        <v>0.0269585606713899</v>
      </c>
      <c r="I14" s="14" t="n">
        <f aca="false">SUM(H$6:H14)</f>
        <v>0.756673607308866</v>
      </c>
      <c r="J14" s="4" t="str">
        <f aca="false">IF(I14-H14&lt;0.8,"A - top 80%",IF(I14-H14&lt;0.95,"B - next 15%","C - tail"))</f>
        <v>A - top 80%</v>
      </c>
      <c r="K14" s="12" t="n">
        <v>12.6618018709023</v>
      </c>
      <c r="L14" s="25" t="n">
        <f aca="false">RANK(K14,K$6:K$84)</f>
        <v>6</v>
      </c>
      <c r="M14" s="12" t="n">
        <v>29.7155362333585</v>
      </c>
      <c r="N14" s="14" t="n">
        <f aca="false">IF(M14&lt;0.05,"n/a",G14/M14-1)</f>
        <v>0.0495267443335286</v>
      </c>
    </row>
    <row r="15" customFormat="false" ht="15" hidden="false" customHeight="false" outlineLevel="0" collapsed="false">
      <c r="A15" s="25" t="n">
        <f aca="false">ROW()-5</f>
        <v>10</v>
      </c>
      <c r="B15" s="4" t="s">
        <v>83</v>
      </c>
      <c r="C15" s="4" t="s">
        <v>155</v>
      </c>
      <c r="D15" s="12" t="n">
        <v>9.24593119374206</v>
      </c>
      <c r="E15" s="26" t="n">
        <v>3.00704913948146</v>
      </c>
      <c r="F15" s="10" t="n">
        <f aca="false">D15*E15</f>
        <v>27.8029694398469</v>
      </c>
      <c r="G15" s="10" t="n">
        <f aca="false">F15*$C$3</f>
        <v>28.2324451064745</v>
      </c>
      <c r="H15" s="14" t="n">
        <f aca="false">G15/SUM(G$6:G$84)</f>
        <v>0.0244043987310843</v>
      </c>
      <c r="I15" s="14" t="n">
        <f aca="false">SUM(H$6:H15)</f>
        <v>0.781078006039951</v>
      </c>
      <c r="J15" s="4" t="str">
        <f aca="false">IF(I15-H15&lt;0.8,"A - top 80%",IF(I15-H15&lt;0.95,"B - next 15%","C - tail"))</f>
        <v>A - top 80%</v>
      </c>
      <c r="K15" s="12" t="n">
        <v>-1.7423518611573</v>
      </c>
      <c r="L15" s="25" t="n">
        <f aca="false">RANK(K15,K$6:K$84)</f>
        <v>67</v>
      </c>
      <c r="M15" s="12" t="n">
        <v>26.5801282624323</v>
      </c>
      <c r="N15" s="14" t="n">
        <f aca="false">IF(M15&lt;0.05,"n/a",G15/M15-1)</f>
        <v>0.0621636144012698</v>
      </c>
    </row>
    <row r="16" customFormat="false" ht="15" hidden="false" customHeight="false" outlineLevel="0" collapsed="false">
      <c r="A16" s="25" t="n">
        <f aca="false">ROW()-5</f>
        <v>11</v>
      </c>
      <c r="B16" s="4" t="s">
        <v>78</v>
      </c>
      <c r="C16" s="4" t="s">
        <v>160</v>
      </c>
      <c r="D16" s="12" t="n">
        <v>9.08581261322026</v>
      </c>
      <c r="E16" s="26" t="n">
        <v>2.83711281032791</v>
      </c>
      <c r="F16" s="10" t="n">
        <f aca="false">D16*E16</f>
        <v>25.7774753572061</v>
      </c>
      <c r="G16" s="10" t="n">
        <f aca="false">F16*$C$3</f>
        <v>26.1756629837819</v>
      </c>
      <c r="H16" s="14" t="n">
        <f aca="false">G16/SUM(G$6:G$84)</f>
        <v>0.0226264963625202</v>
      </c>
      <c r="I16" s="14" t="n">
        <f aca="false">SUM(H$6:H16)</f>
        <v>0.803704502402471</v>
      </c>
      <c r="J16" s="4" t="str">
        <f aca="false">IF(I16-H16&lt;0.8,"A - top 80%",IF(I16-H16&lt;0.95,"B - next 15%","C - tail"))</f>
        <v>A - top 80%</v>
      </c>
      <c r="K16" s="12" t="n">
        <v>6.90096466993353</v>
      </c>
      <c r="L16" s="25" t="n">
        <f aca="false">RANK(K16,K$6:K$84)</f>
        <v>11</v>
      </c>
      <c r="M16" s="12" t="n">
        <v>22.4604570887771</v>
      </c>
      <c r="N16" s="14" t="n">
        <f aca="false">IF(M16&lt;0.05,"n/a",G16/M16-1)</f>
        <v>0.165410965605915</v>
      </c>
    </row>
    <row r="17" customFormat="false" ht="15" hidden="false" customHeight="false" outlineLevel="0" collapsed="false">
      <c r="A17" s="25" t="n">
        <f aca="false">ROW()-5</f>
        <v>12</v>
      </c>
      <c r="B17" s="4" t="s">
        <v>78</v>
      </c>
      <c r="C17" s="4" t="s">
        <v>161</v>
      </c>
      <c r="D17" s="12" t="n">
        <v>7.37723268068487</v>
      </c>
      <c r="E17" s="26" t="n">
        <v>3.09784344132218</v>
      </c>
      <c r="F17" s="10" t="n">
        <f aca="false">D17*E17</f>
        <v>22.8535118749673</v>
      </c>
      <c r="G17" s="10" t="n">
        <f aca="false">F17*$C$3</f>
        <v>23.2065327013405</v>
      </c>
      <c r="H17" s="14" t="n">
        <f aca="false">G17/SUM(G$6:G$84)</f>
        <v>0.0200599514166622</v>
      </c>
      <c r="I17" s="14" t="n">
        <f aca="false">SUM(H$6:H17)</f>
        <v>0.823764453819133</v>
      </c>
      <c r="J17" s="4" t="str">
        <f aca="false">IF(I17-H17&lt;0.8,"A - top 80%",IF(I17-H17&lt;0.95,"B - next 15%","C - tail"))</f>
        <v>B - next 15%</v>
      </c>
      <c r="K17" s="12" t="n">
        <v>5.45103383939461</v>
      </c>
      <c r="L17" s="25" t="n">
        <f aca="false">RANK(K17,K$6:K$84)</f>
        <v>13</v>
      </c>
      <c r="M17" s="12" t="n">
        <v>22.0757327742553</v>
      </c>
      <c r="N17" s="14" t="n">
        <f aca="false">IF(M17&lt;0.05,"n/a",G17/M17-1)</f>
        <v>0.0512236644032895</v>
      </c>
    </row>
    <row r="18" customFormat="false" ht="15" hidden="false" customHeight="false" outlineLevel="0" collapsed="false">
      <c r="A18" s="25" t="n">
        <f aca="false">ROW()-5</f>
        <v>13</v>
      </c>
      <c r="B18" s="4" t="s">
        <v>78</v>
      </c>
      <c r="C18" s="4" t="s">
        <v>162</v>
      </c>
      <c r="D18" s="12" t="n">
        <v>7.42603627958863</v>
      </c>
      <c r="E18" s="26" t="n">
        <v>2.71576278180779</v>
      </c>
      <c r="F18" s="10" t="n">
        <f aca="false">D18*E18</f>
        <v>20.1673529444612</v>
      </c>
      <c r="G18" s="10" t="n">
        <f aca="false">F18*$C$3</f>
        <v>20.4788803648929</v>
      </c>
      <c r="H18" s="14" t="n">
        <f aca="false">G18/SUM(G$6:G$84)</f>
        <v>0.0177021423438952</v>
      </c>
      <c r="I18" s="14" t="n">
        <f aca="false">SUM(H$6:H18)</f>
        <v>0.841466596163028</v>
      </c>
      <c r="J18" s="4" t="str">
        <f aca="false">IF(I18-H18&lt;0.8,"A - top 80%",IF(I18-H18&lt;0.95,"B - next 15%","C - tail"))</f>
        <v>B - next 15%</v>
      </c>
      <c r="K18" s="12" t="n">
        <v>8.09890460799825</v>
      </c>
      <c r="L18" s="25" t="n">
        <f aca="false">RANK(K18,K$6:K$84)</f>
        <v>9</v>
      </c>
      <c r="M18" s="12" t="n">
        <v>21.4406801695545</v>
      </c>
      <c r="N18" s="14" t="n">
        <f aca="false">IF(M18&lt;0.05,"n/a",G18/M18-1)</f>
        <v>-0.0448586424057282</v>
      </c>
    </row>
    <row r="19" customFormat="false" ht="15" hidden="false" customHeight="false" outlineLevel="0" collapsed="false">
      <c r="A19" s="25" t="n">
        <f aca="false">ROW()-5</f>
        <v>14</v>
      </c>
      <c r="B19" s="4" t="s">
        <v>78</v>
      </c>
      <c r="C19" s="4" t="s">
        <v>163</v>
      </c>
      <c r="D19" s="12" t="n">
        <v>7.42692115550761</v>
      </c>
      <c r="E19" s="26" t="n">
        <v>2.68126340096866</v>
      </c>
      <c r="F19" s="10" t="n">
        <f aca="false">D19*E19</f>
        <v>19.9135318761424</v>
      </c>
      <c r="G19" s="10" t="n">
        <f aca="false">F19*$C$3</f>
        <v>20.2211384933392</v>
      </c>
      <c r="H19" s="14" t="n">
        <f aca="false">G19/SUM(G$6:G$84)</f>
        <v>0.0174793477761782</v>
      </c>
      <c r="I19" s="14" t="n">
        <f aca="false">SUM(H$6:H19)</f>
        <v>0.858945943939206</v>
      </c>
      <c r="J19" s="4" t="str">
        <f aca="false">IF(I19-H19&lt;0.8,"A - top 80%",IF(I19-H19&lt;0.95,"B - next 15%","C - tail"))</f>
        <v>B - next 15%</v>
      </c>
      <c r="K19" s="12" t="n">
        <v>3.90004658405368</v>
      </c>
      <c r="L19" s="25" t="n">
        <f aca="false">RANK(K19,K$6:K$84)</f>
        <v>16</v>
      </c>
      <c r="M19" s="12" t="n">
        <v>19.2000509773532</v>
      </c>
      <c r="N19" s="14" t="n">
        <f aca="false">IF(M19&lt;0.05,"n/a",G19/M19-1)</f>
        <v>0.0531815002569731</v>
      </c>
    </row>
    <row r="20" customFormat="false" ht="15" hidden="false" customHeight="false" outlineLevel="0" collapsed="false">
      <c r="A20" s="25" t="n">
        <f aca="false">ROW()-5</f>
        <v>15</v>
      </c>
      <c r="B20" s="4" t="s">
        <v>83</v>
      </c>
      <c r="C20" s="4" t="s">
        <v>179</v>
      </c>
      <c r="D20" s="12" t="n">
        <v>4.99028494289361</v>
      </c>
      <c r="E20" s="26" t="n">
        <v>3.38426732470956</v>
      </c>
      <c r="F20" s="10" t="n">
        <f aca="false">D20*E20</f>
        <v>16.888458273225</v>
      </c>
      <c r="G20" s="10" t="n">
        <f aca="false">F20*$C$3</f>
        <v>17.1493362305561</v>
      </c>
      <c r="H20" s="14" t="n">
        <f aca="false">G20/SUM(G$6:G$84)</f>
        <v>0.0148240521770444</v>
      </c>
      <c r="I20" s="14" t="n">
        <f aca="false">SUM(H$6:H20)</f>
        <v>0.873769996116251</v>
      </c>
      <c r="J20" s="4" t="str">
        <f aca="false">IF(I20-H20&lt;0.8,"A - top 80%",IF(I20-H20&lt;0.95,"B - next 15%","C - tail"))</f>
        <v>B - next 15%</v>
      </c>
      <c r="K20" s="12" t="n">
        <v>-7.51314454203493</v>
      </c>
      <c r="L20" s="25" t="n">
        <f aca="false">RANK(K20,K$6:K$84)</f>
        <v>79</v>
      </c>
      <c r="M20" s="12" t="n">
        <v>18.3767972928315</v>
      </c>
      <c r="N20" s="14" t="n">
        <f aca="false">IF(M20&lt;0.05,"n/a",G20/M20-1)</f>
        <v>-0.0667940687768391</v>
      </c>
    </row>
    <row r="21" customFormat="false" ht="15" hidden="false" customHeight="false" outlineLevel="0" collapsed="false">
      <c r="A21" s="25" t="n">
        <f aca="false">ROW()-5</f>
        <v>16</v>
      </c>
      <c r="B21" s="4" t="s">
        <v>78</v>
      </c>
      <c r="C21" s="4" t="s">
        <v>165</v>
      </c>
      <c r="D21" s="12" t="n">
        <v>4.45218179941449</v>
      </c>
      <c r="E21" s="26" t="n">
        <v>3.58415237836151</v>
      </c>
      <c r="F21" s="10" t="n">
        <f aca="false">D21*E21</f>
        <v>15.9572979852693</v>
      </c>
      <c r="G21" s="10" t="n">
        <f aca="false">F21*$C$3</f>
        <v>16.2037922025372</v>
      </c>
      <c r="H21" s="14" t="n">
        <f aca="false">G21/SUM(G$6:G$84)</f>
        <v>0.01400671477001</v>
      </c>
      <c r="I21" s="14" t="n">
        <f aca="false">SUM(H$6:H21)</f>
        <v>0.887776710886261</v>
      </c>
      <c r="J21" s="4" t="str">
        <f aca="false">IF(I21-H21&lt;0.8,"A - top 80%",IF(I21-H21&lt;0.95,"B - next 15%","C - tail"))</f>
        <v>B - next 15%</v>
      </c>
      <c r="K21" s="12" t="n">
        <v>13.6541133844714</v>
      </c>
      <c r="L21" s="25" t="n">
        <f aca="false">RANK(K21,K$6:K$84)</f>
        <v>5</v>
      </c>
      <c r="M21" s="12" t="n">
        <v>14.3550850329094</v>
      </c>
      <c r="N21" s="14" t="n">
        <f aca="false">IF(M21&lt;0.05,"n/a",G21/M21-1)</f>
        <v>0.128784132270176</v>
      </c>
    </row>
    <row r="22" customFormat="false" ht="15" hidden="false" customHeight="false" outlineLevel="0" collapsed="false">
      <c r="A22" s="25" t="n">
        <f aca="false">ROW()-5</f>
        <v>17</v>
      </c>
      <c r="B22" s="4" t="s">
        <v>78</v>
      </c>
      <c r="C22" s="4" t="s">
        <v>164</v>
      </c>
      <c r="D22" s="12" t="n">
        <v>4.04746781544576</v>
      </c>
      <c r="E22" s="26" t="n">
        <v>3.58415237836151</v>
      </c>
      <c r="F22" s="10" t="n">
        <f aca="false">D22*E22</f>
        <v>14.5067413970716</v>
      </c>
      <c r="G22" s="10" t="n">
        <f aca="false">F22*$C$3</f>
        <v>14.7308286998894</v>
      </c>
      <c r="H22" s="14" t="n">
        <f aca="false">G22/SUM(G$6:G$84)</f>
        <v>0.0127334708657225</v>
      </c>
      <c r="I22" s="14" t="n">
        <f aca="false">SUM(H$6:H22)</f>
        <v>0.900510181751983</v>
      </c>
      <c r="J22" s="4" t="str">
        <f aca="false">IF(I22-H22&lt;0.8,"A - top 80%",IF(I22-H22&lt;0.95,"B - next 15%","C - tail"))</f>
        <v>B - next 15%</v>
      </c>
      <c r="K22" s="12" t="n">
        <v>7.55984389956038</v>
      </c>
      <c r="L22" s="25" t="n">
        <f aca="false">RANK(K22,K$6:K$84)</f>
        <v>10</v>
      </c>
      <c r="M22" s="12" t="n">
        <v>14.679879037985</v>
      </c>
      <c r="N22" s="14" t="n">
        <f aca="false">IF(M22&lt;0.05,"n/a",G22/M22-1)</f>
        <v>0.00347071401423515</v>
      </c>
    </row>
    <row r="23" customFormat="false" ht="15" hidden="false" customHeight="false" outlineLevel="0" collapsed="false">
      <c r="A23" s="25" t="n">
        <f aca="false">ROW()-5</f>
        <v>18</v>
      </c>
      <c r="B23" s="4" t="s">
        <v>78</v>
      </c>
      <c r="C23" s="4" t="s">
        <v>166</v>
      </c>
      <c r="D23" s="12" t="n">
        <v>3.71024231442172</v>
      </c>
      <c r="E23" s="26" t="n">
        <v>3.58415237836151</v>
      </c>
      <c r="F23" s="10" t="n">
        <f aca="false">D23*E23</f>
        <v>13.2980738155321</v>
      </c>
      <c r="G23" s="10" t="n">
        <f aca="false">F23*$C$3</f>
        <v>13.503490691206</v>
      </c>
      <c r="H23" s="14" t="n">
        <f aca="false">G23/SUM(G$6:G$84)</f>
        <v>0.011672548015124</v>
      </c>
      <c r="I23" s="14" t="n">
        <f aca="false">SUM(H$6:H23)</f>
        <v>0.912182729767107</v>
      </c>
      <c r="J23" s="4" t="str">
        <f aca="false">IF(I23-H23&lt;0.8,"A - top 80%",IF(I23-H23&lt;0.95,"B - next 15%","C - tail"))</f>
        <v>B - next 15%</v>
      </c>
      <c r="K23" s="12" t="n">
        <v>-3.26837645151204</v>
      </c>
      <c r="L23" s="25" t="n">
        <f aca="false">RANK(K23,K$6:K$84)</f>
        <v>71</v>
      </c>
      <c r="M23" s="12" t="n">
        <v>17.7759151543604</v>
      </c>
      <c r="N23" s="14" t="n">
        <f aca="false">IF(M23&lt;0.05,"n/a",G23/M23-1)</f>
        <v>-0.24034905804028</v>
      </c>
    </row>
    <row r="24" customFormat="false" ht="15" hidden="false" customHeight="false" outlineLevel="0" collapsed="false">
      <c r="A24" s="25" t="n">
        <f aca="false">ROW()-5</f>
        <v>19</v>
      </c>
      <c r="B24" s="4" t="s">
        <v>83</v>
      </c>
      <c r="C24" s="4" t="s">
        <v>180</v>
      </c>
      <c r="D24" s="12" t="n">
        <v>4.19543901745815</v>
      </c>
      <c r="E24" s="26" t="n">
        <v>2.96025438189461</v>
      </c>
      <c r="F24" s="10" t="n">
        <f aca="false">D24*E24</f>
        <v>12.4195667354021</v>
      </c>
      <c r="G24" s="10" t="n">
        <f aca="false">F24*$C$3</f>
        <v>12.6114132111699</v>
      </c>
      <c r="H24" s="14" t="n">
        <f aca="false">G24/SUM(G$6:G$84)</f>
        <v>0.0109014276095156</v>
      </c>
      <c r="I24" s="14" t="n">
        <f aca="false">SUM(H$6:H24)</f>
        <v>0.923084157376623</v>
      </c>
      <c r="J24" s="4" t="str">
        <f aca="false">IF(I24-H24&lt;0.8,"A - top 80%",IF(I24-H24&lt;0.95,"B - next 15%","C - tail"))</f>
        <v>B - next 15%</v>
      </c>
      <c r="K24" s="12" t="n">
        <v>-4.85481512567185</v>
      </c>
      <c r="L24" s="25" t="n">
        <f aca="false">RANK(K24,K$6:K$84)</f>
        <v>74</v>
      </c>
      <c r="M24" s="12" t="n">
        <v>13.4221705286051</v>
      </c>
      <c r="N24" s="14" t="n">
        <f aca="false">IF(M24&lt;0.05,"n/a",G24/M24-1)</f>
        <v>-0.060404337413784</v>
      </c>
    </row>
    <row r="25" customFormat="false" ht="15" hidden="false" customHeight="false" outlineLevel="0" collapsed="false">
      <c r="A25" s="25" t="n">
        <f aca="false">ROW()-5</f>
        <v>20</v>
      </c>
      <c r="B25" s="4" t="s">
        <v>83</v>
      </c>
      <c r="C25" s="4" t="s">
        <v>223</v>
      </c>
      <c r="D25" s="12" t="n">
        <v>2.76255958575432</v>
      </c>
      <c r="E25" s="26" t="n">
        <v>3.43758824630762</v>
      </c>
      <c r="F25" s="10" t="n">
        <f aca="false">D25*E25</f>
        <v>9.49654236171349</v>
      </c>
      <c r="G25" s="10" t="n">
        <f aca="false">F25*$C$3</f>
        <v>9.64323654379639</v>
      </c>
      <c r="H25" s="14" t="n">
        <f aca="false">G25/SUM(G$6:G$84)</f>
        <v>0.00833570697774955</v>
      </c>
      <c r="I25" s="14" t="n">
        <f aca="false">SUM(H$6:H25)</f>
        <v>0.931419864354372</v>
      </c>
      <c r="J25" s="4" t="str">
        <f aca="false">IF(I25-H25&lt;0.8,"A - top 80%",IF(I25-H25&lt;0.95,"B - next 15%","C - tail"))</f>
        <v>B - next 15%</v>
      </c>
      <c r="K25" s="12" t="n">
        <v>-3.20571619586987</v>
      </c>
      <c r="L25" s="25" t="n">
        <f aca="false">RANK(K25,K$6:K$84)</f>
        <v>70</v>
      </c>
      <c r="M25" s="12" t="n">
        <v>10.2424556029301</v>
      </c>
      <c r="N25" s="14" t="n">
        <f aca="false">IF(M25&lt;0.05,"n/a",G25/M25-1)</f>
        <v>-0.0585034568236023</v>
      </c>
    </row>
    <row r="26" customFormat="false" ht="15" hidden="false" customHeight="false" outlineLevel="0" collapsed="false">
      <c r="A26" s="25" t="n">
        <f aca="false">ROW()-5</f>
        <v>21</v>
      </c>
      <c r="B26" s="4" t="s">
        <v>83</v>
      </c>
      <c r="C26" s="4" t="s">
        <v>224</v>
      </c>
      <c r="D26" s="12" t="n">
        <v>2.09631653976109</v>
      </c>
      <c r="E26" s="26" t="n">
        <v>3.46063213624264</v>
      </c>
      <c r="F26" s="10" t="n">
        <f aca="false">D26*E26</f>
        <v>7.25458038523419</v>
      </c>
      <c r="G26" s="10" t="n">
        <f aca="false">F26*$C$3</f>
        <v>7.36664272281266</v>
      </c>
      <c r="H26" s="14" t="n">
        <f aca="false">G26/SUM(G$6:G$84)</f>
        <v>0.0063677972502542</v>
      </c>
      <c r="I26" s="14" t="n">
        <f aca="false">SUM(H$6:H26)</f>
        <v>0.937787661604627</v>
      </c>
      <c r="J26" s="4" t="str">
        <f aca="false">IF(I26-H26&lt;0.8,"A - top 80%",IF(I26-H26&lt;0.95,"B - next 15%","C - tail"))</f>
        <v>B - next 15%</v>
      </c>
      <c r="K26" s="12" t="n">
        <v>-4.4938065571484</v>
      </c>
      <c r="L26" s="25" t="n">
        <f aca="false">RANK(K26,K$6:K$84)</f>
        <v>72</v>
      </c>
      <c r="M26" s="12" t="n">
        <v>8.7434773163305</v>
      </c>
      <c r="N26" s="14" t="n">
        <f aca="false">IF(M26&lt;0.05,"n/a",G26/M26-1)</f>
        <v>-0.157469910849575</v>
      </c>
    </row>
    <row r="27" customFormat="false" ht="15" hidden="false" customHeight="false" outlineLevel="0" collapsed="false">
      <c r="A27" s="25" t="n">
        <f aca="false">ROW()-5</f>
        <v>22</v>
      </c>
      <c r="B27" s="4" t="s">
        <v>83</v>
      </c>
      <c r="C27" s="4" t="s">
        <v>152</v>
      </c>
      <c r="D27" s="12" t="n">
        <v>2.26241590051867</v>
      </c>
      <c r="E27" s="26" t="n">
        <v>2.8290933702707</v>
      </c>
      <c r="F27" s="10" t="n">
        <f aca="false">D27*E27</f>
        <v>6.40058582495239</v>
      </c>
      <c r="G27" s="10" t="n">
        <f aca="false">F27*$C$3</f>
        <v>6.49945641033809</v>
      </c>
      <c r="H27" s="14" t="n">
        <f aca="false">G27/SUM(G$6:G$84)</f>
        <v>0.00561819301073635</v>
      </c>
      <c r="I27" s="14" t="n">
        <f aca="false">SUM(H$6:H27)</f>
        <v>0.943405854615363</v>
      </c>
      <c r="J27" s="4" t="str">
        <f aca="false">IF(I27-H27&lt;0.8,"A - top 80%",IF(I27-H27&lt;0.95,"B - next 15%","C - tail"))</f>
        <v>B - next 15%</v>
      </c>
      <c r="K27" s="12" t="n">
        <v>-0.286250641499981</v>
      </c>
      <c r="L27" s="25" t="n">
        <f aca="false">RANK(K27,K$6:K$84)</f>
        <v>57</v>
      </c>
      <c r="M27" s="12" t="n">
        <v>4.74132298962659</v>
      </c>
      <c r="N27" s="14" t="n">
        <f aca="false">IF(M27&lt;0.05,"n/a",G27/M27-1)</f>
        <v>0.370810726153454</v>
      </c>
    </row>
    <row r="28" customFormat="false" ht="15" hidden="false" customHeight="false" outlineLevel="0" collapsed="false">
      <c r="A28" s="25" t="n">
        <f aca="false">ROW()-5</f>
        <v>23</v>
      </c>
      <c r="B28" s="4" t="s">
        <v>83</v>
      </c>
      <c r="C28" s="4" t="s">
        <v>184</v>
      </c>
      <c r="D28" s="12" t="n">
        <v>1.51349261809436</v>
      </c>
      <c r="E28" s="26" t="n">
        <v>3.46459952318196</v>
      </c>
      <c r="F28" s="10" t="n">
        <f aca="false">D28*E28</f>
        <v>5.24364580298912</v>
      </c>
      <c r="G28" s="10" t="n">
        <f aca="false">F28*$C$3</f>
        <v>5.32464500279294</v>
      </c>
      <c r="H28" s="14" t="n">
        <f aca="false">G28/SUM(G$6:G$84)</f>
        <v>0.00460267466241649</v>
      </c>
      <c r="I28" s="14" t="n">
        <f aca="false">SUM(H$6:H28)</f>
        <v>0.948008529277779</v>
      </c>
      <c r="J28" s="4" t="str">
        <f aca="false">IF(I28-H28&lt;0.8,"A - top 80%",IF(I28-H28&lt;0.95,"B - next 15%","C - tail"))</f>
        <v>B - next 15%</v>
      </c>
      <c r="K28" s="12" t="n">
        <v>-1.83228344102675</v>
      </c>
      <c r="L28" s="25" t="n">
        <f aca="false">RANK(K28,K$6:K$84)</f>
        <v>69</v>
      </c>
      <c r="M28" s="12" t="n">
        <v>5.60438983489951</v>
      </c>
      <c r="N28" s="14" t="n">
        <f aca="false">IF(M28&lt;0.05,"n/a",G28/M28-1)</f>
        <v>-0.0499153057420352</v>
      </c>
    </row>
    <row r="29" customFormat="false" ht="15" hidden="false" customHeight="false" outlineLevel="0" collapsed="false">
      <c r="A29" s="25" t="n">
        <f aca="false">ROW()-5</f>
        <v>24</v>
      </c>
      <c r="B29" s="4" t="s">
        <v>83</v>
      </c>
      <c r="C29" s="4" t="s">
        <v>186</v>
      </c>
      <c r="D29" s="12" t="n">
        <v>1.45194882370505</v>
      </c>
      <c r="E29" s="26" t="n">
        <v>3.59888845127482</v>
      </c>
      <c r="F29" s="10" t="n">
        <f aca="false">D29*E29</f>
        <v>5.22540185347417</v>
      </c>
      <c r="G29" s="10" t="n">
        <f aca="false">F29*$C$3</f>
        <v>5.30611923689155</v>
      </c>
      <c r="H29" s="14" t="n">
        <f aca="false">G29/SUM(G$6:G$84)</f>
        <v>0.00458666081111345</v>
      </c>
      <c r="I29" s="14" t="n">
        <f aca="false">SUM(H$6:H29)</f>
        <v>0.952595190088893</v>
      </c>
      <c r="J29" s="4" t="str">
        <f aca="false">IF(I29-H29&lt;0.8,"A - top 80%",IF(I29-H29&lt;0.95,"B - next 15%","C - tail"))</f>
        <v>B - next 15%</v>
      </c>
      <c r="K29" s="12" t="n">
        <v>0.104110470748065</v>
      </c>
      <c r="L29" s="25" t="n">
        <f aca="false">RANK(K29,K$6:K$84)</f>
        <v>27</v>
      </c>
      <c r="M29" s="12" t="n">
        <v>5.05348806904319</v>
      </c>
      <c r="N29" s="14" t="n">
        <f aca="false">IF(M29&lt;0.05,"n/a",G29/M29-1)</f>
        <v>0.0499914444037042</v>
      </c>
    </row>
    <row r="30" customFormat="false" ht="15" hidden="false" customHeight="false" outlineLevel="0" collapsed="false">
      <c r="A30" s="25" t="n">
        <f aca="false">ROW()-5</f>
        <v>25</v>
      </c>
      <c r="B30" s="4" t="s">
        <v>78</v>
      </c>
      <c r="C30" s="4" t="s">
        <v>167</v>
      </c>
      <c r="D30" s="12" t="n">
        <v>1.71058893924617</v>
      </c>
      <c r="E30" s="26" t="n">
        <v>2.88649250893882</v>
      </c>
      <c r="F30" s="10" t="n">
        <f aca="false">D30*E30</f>
        <v>4.93760215900767</v>
      </c>
      <c r="G30" s="10" t="n">
        <f aca="false">F30*$C$3</f>
        <v>5.01387386744405</v>
      </c>
      <c r="H30" s="14" t="n">
        <f aca="false">G30/SUM(G$6:G$84)</f>
        <v>0.00433404108595637</v>
      </c>
      <c r="I30" s="14" t="n">
        <f aca="false">SUM(H$6:H30)</f>
        <v>0.956929231174849</v>
      </c>
      <c r="J30" s="4" t="str">
        <f aca="false">IF(I30-H30&lt;0.8,"A - top 80%",IF(I30-H30&lt;0.95,"B - next 15%","C - tail"))</f>
        <v>C - tail</v>
      </c>
      <c r="K30" s="12" t="n">
        <v>4.80142447553512</v>
      </c>
      <c r="L30" s="25" t="n">
        <f aca="false">RANK(K30,K$6:K$84)</f>
        <v>14</v>
      </c>
      <c r="M30" s="12" t="n">
        <v>5.00970608079357</v>
      </c>
      <c r="N30" s="14" t="n">
        <f aca="false">IF(M30&lt;0.05,"n/a",G30/M30-1)</f>
        <v>0.000831942350163706</v>
      </c>
    </row>
    <row r="31" customFormat="false" ht="15" hidden="false" customHeight="false" outlineLevel="0" collapsed="false">
      <c r="A31" s="25" t="n">
        <f aca="false">ROW()-5</f>
        <v>26</v>
      </c>
      <c r="B31" s="4" t="s">
        <v>83</v>
      </c>
      <c r="C31" s="4" t="s">
        <v>225</v>
      </c>
      <c r="D31" s="12" t="n">
        <v>1.38611590830012</v>
      </c>
      <c r="E31" s="26" t="n">
        <v>3.52127285335228</v>
      </c>
      <c r="F31" s="10" t="n">
        <f aca="false">D31*E31</f>
        <v>4.88089231949696</v>
      </c>
      <c r="G31" s="10" t="n">
        <f aca="false">F31*$C$3</f>
        <v>4.95628802452008</v>
      </c>
      <c r="H31" s="14" t="n">
        <f aca="false">G31/SUM(G$6:G$84)</f>
        <v>0.0042842633261243</v>
      </c>
      <c r="I31" s="14" t="n">
        <f aca="false">SUM(H$6:H31)</f>
        <v>0.961213494500974</v>
      </c>
      <c r="J31" s="4" t="str">
        <f aca="false">IF(I31-H31&lt;0.8,"A - top 80%",IF(I31-H31&lt;0.95,"B - next 15%","C - tail"))</f>
        <v>C - tail</v>
      </c>
      <c r="K31" s="12" t="n">
        <v>-0.796399000440834</v>
      </c>
      <c r="L31" s="25" t="n">
        <f aca="false">RANK(K31,K$6:K$84)</f>
        <v>61</v>
      </c>
      <c r="M31" s="12" t="n">
        <v>5.61076918033414</v>
      </c>
      <c r="N31" s="14" t="n">
        <f aca="false">IF(M31&lt;0.05,"n/a",G31/M31-1)</f>
        <v>-0.116647314259164</v>
      </c>
    </row>
    <row r="32" customFormat="false" ht="15" hidden="false" customHeight="false" outlineLevel="0" collapsed="false">
      <c r="A32" s="25" t="n">
        <f aca="false">ROW()-5</f>
        <v>27</v>
      </c>
      <c r="B32" s="4" t="s">
        <v>78</v>
      </c>
      <c r="C32" s="4" t="s">
        <v>169</v>
      </c>
      <c r="D32" s="12" t="n">
        <v>1.3450305477284</v>
      </c>
      <c r="E32" s="26" t="n">
        <v>3.58415237836151</v>
      </c>
      <c r="F32" s="10" t="n">
        <f aca="false">D32*E32</f>
        <v>4.82079443660962</v>
      </c>
      <c r="G32" s="10" t="n">
        <f aca="false">F32*$C$3</f>
        <v>4.89526180272377</v>
      </c>
      <c r="H32" s="14" t="n">
        <f aca="false">G32/SUM(G$6:G$84)</f>
        <v>0.0042315116695054</v>
      </c>
      <c r="I32" s="14" t="n">
        <f aca="false">SUM(H$6:H32)</f>
        <v>0.965445006170479</v>
      </c>
      <c r="J32" s="4" t="str">
        <f aca="false">IF(I32-H32&lt;0.8,"A - top 80%",IF(I32-H32&lt;0.95,"B - next 15%","C - tail"))</f>
        <v>C - tail</v>
      </c>
      <c r="K32" s="12" t="n">
        <v>0.124664405393094</v>
      </c>
      <c r="L32" s="25" t="n">
        <f aca="false">RANK(K32,K$6:K$84)</f>
        <v>25</v>
      </c>
      <c r="M32" s="12" t="n">
        <v>5.71316439082042</v>
      </c>
      <c r="N32" s="14" t="n">
        <f aca="false">IF(M32&lt;0.05,"n/a",G32/M32-1)</f>
        <v>-0.143161045638876</v>
      </c>
    </row>
    <row r="33" customFormat="false" ht="15" hidden="false" customHeight="false" outlineLevel="0" collapsed="false">
      <c r="A33" s="25" t="n">
        <f aca="false">ROW()-5</f>
        <v>28</v>
      </c>
      <c r="B33" s="4" t="s">
        <v>83</v>
      </c>
      <c r="C33" s="4" t="s">
        <v>188</v>
      </c>
      <c r="D33" s="12" t="n">
        <v>1.06077553544077</v>
      </c>
      <c r="E33" s="26" t="n">
        <v>4.42045839104797</v>
      </c>
      <c r="F33" s="10" t="n">
        <f aca="false">D33*E33</f>
        <v>4.68911411665757</v>
      </c>
      <c r="G33" s="10" t="n">
        <f aca="false">F33*$C$3</f>
        <v>4.76154740172453</v>
      </c>
      <c r="H33" s="14" t="n">
        <f aca="false">G33/SUM(G$6:G$84)</f>
        <v>0.0041159276474426</v>
      </c>
      <c r="I33" s="14" t="n">
        <f aca="false">SUM(H$6:H33)</f>
        <v>0.969560933817922</v>
      </c>
      <c r="J33" s="4" t="str">
        <f aca="false">IF(I33-H33&lt;0.8,"A - top 80%",IF(I33-H33&lt;0.95,"B - next 15%","C - tail"))</f>
        <v>C - tail</v>
      </c>
      <c r="K33" s="12" t="n">
        <v>6.47246213391901</v>
      </c>
      <c r="L33" s="25" t="n">
        <f aca="false">RANK(K33,K$6:K$84)</f>
        <v>12</v>
      </c>
      <c r="M33" s="12" t="n">
        <v>2.58559296862069</v>
      </c>
      <c r="N33" s="14" t="n">
        <f aca="false">IF(M33&lt;0.05,"n/a",G33/M33-1)</f>
        <v>0.841568823674762</v>
      </c>
    </row>
    <row r="34" customFormat="false" ht="15" hidden="false" customHeight="false" outlineLevel="0" collapsed="false">
      <c r="A34" s="25" t="n">
        <f aca="false">ROW()-5</f>
        <v>29</v>
      </c>
      <c r="B34" s="4" t="s">
        <v>83</v>
      </c>
      <c r="C34" s="4" t="s">
        <v>191</v>
      </c>
      <c r="D34" s="12" t="n">
        <v>0.974942792823465</v>
      </c>
      <c r="E34" s="26" t="n">
        <v>4.42045839104797</v>
      </c>
      <c r="F34" s="10" t="n">
        <f aca="false">D34*E34</f>
        <v>4.30969404932823</v>
      </c>
      <c r="G34" s="10" t="n">
        <f aca="false">F34*$C$3</f>
        <v>4.37626638897709</v>
      </c>
      <c r="H34" s="14" t="n">
        <f aca="false">G34/SUM(G$6:G$84)</f>
        <v>0.00378288701199129</v>
      </c>
      <c r="I34" s="14" t="n">
        <f aca="false">SUM(H$6:H34)</f>
        <v>0.973343820829913</v>
      </c>
      <c r="J34" s="4" t="str">
        <f aca="false">IF(I34-H34&lt;0.8,"A - top 80%",IF(I34-H34&lt;0.95,"B - next 15%","C - tail"))</f>
        <v>C - tail</v>
      </c>
      <c r="K34" s="12" t="n">
        <v>-0.172978574680617</v>
      </c>
      <c r="L34" s="25" t="n">
        <f aca="false">RANK(K34,K$6:K$84)</f>
        <v>54</v>
      </c>
      <c r="M34" s="12" t="n">
        <v>6.41496461426612</v>
      </c>
      <c r="N34" s="14" t="n">
        <f aca="false">IF(M34&lt;0.05,"n/a",G34/M34-1)</f>
        <v>-0.317803502883743</v>
      </c>
    </row>
    <row r="35" customFormat="false" ht="15" hidden="false" customHeight="false" outlineLevel="0" collapsed="false">
      <c r="A35" s="25" t="n">
        <f aca="false">ROW()-5</f>
        <v>30</v>
      </c>
      <c r="B35" s="4" t="s">
        <v>83</v>
      </c>
      <c r="C35" s="4" t="s">
        <v>187</v>
      </c>
      <c r="D35" s="12" t="n">
        <v>0.965993601103057</v>
      </c>
      <c r="E35" s="26" t="n">
        <v>4.29451263253001</v>
      </c>
      <c r="F35" s="10" t="n">
        <f aca="false">D35*E35</f>
        <v>4.14847172288023</v>
      </c>
      <c r="G35" s="10" t="n">
        <f aca="false">F35*$C$3</f>
        <v>4.21255364270985</v>
      </c>
      <c r="H35" s="14" t="n">
        <f aca="false">G35/SUM(G$6:G$84)</f>
        <v>0.00364137213001069</v>
      </c>
      <c r="I35" s="14" t="n">
        <f aca="false">SUM(H$6:H35)</f>
        <v>0.976985192959924</v>
      </c>
      <c r="J35" s="4" t="str">
        <f aca="false">IF(I35-H35&lt;0.8,"A - top 80%",IF(I35-H35&lt;0.95,"B - next 15%","C - tail"))</f>
        <v>C - tail</v>
      </c>
      <c r="K35" s="12" t="n">
        <v>-1.4615733378602</v>
      </c>
      <c r="L35" s="25" t="n">
        <f aca="false">RANK(K35,K$6:K$84)</f>
        <v>66</v>
      </c>
      <c r="M35" s="12" t="n">
        <v>4.87306831043552</v>
      </c>
      <c r="N35" s="14" t="n">
        <f aca="false">IF(M35&lt;0.05,"n/a",G35/M35-1)</f>
        <v>-0.135543896709018</v>
      </c>
    </row>
    <row r="36" customFormat="false" ht="15" hidden="false" customHeight="false" outlineLevel="0" collapsed="false">
      <c r="A36" s="25" t="n">
        <f aca="false">ROW()-5</f>
        <v>31</v>
      </c>
      <c r="B36" s="4" t="s">
        <v>83</v>
      </c>
      <c r="C36" s="4" t="s">
        <v>190</v>
      </c>
      <c r="D36" s="12" t="n">
        <v>1.05661104445233</v>
      </c>
      <c r="E36" s="26" t="n">
        <v>3.8032567775086</v>
      </c>
      <c r="F36" s="10" t="n">
        <f aca="false">D36*E36</f>
        <v>4.01856311600375</v>
      </c>
      <c r="G36" s="10" t="n">
        <f aca="false">F36*$C$3</f>
        <v>4.08063832264183</v>
      </c>
      <c r="H36" s="14" t="n">
        <f aca="false">G36/SUM(G$6:G$84)</f>
        <v>0.00352734325091299</v>
      </c>
      <c r="I36" s="14" t="n">
        <f aca="false">SUM(H$6:H36)</f>
        <v>0.980512536210836</v>
      </c>
      <c r="J36" s="4" t="str">
        <f aca="false">IF(I36-H36&lt;0.8,"A - top 80%",IF(I36-H36&lt;0.95,"B - next 15%","C - tail"))</f>
        <v>C - tail</v>
      </c>
      <c r="K36" s="12" t="n">
        <v>-0.0711130486487597</v>
      </c>
      <c r="L36" s="25" t="n">
        <f aca="false">RANK(K36,K$6:K$84)</f>
        <v>51</v>
      </c>
      <c r="M36" s="12" t="n">
        <v>4.17651107817119</v>
      </c>
      <c r="N36" s="14" t="n">
        <f aca="false">IF(M36&lt;0.05,"n/a",G36/M36-1)</f>
        <v>-0.0229552259613166</v>
      </c>
    </row>
    <row r="37" customFormat="false" ht="15" hidden="false" customHeight="false" outlineLevel="0" collapsed="false">
      <c r="A37" s="25" t="n">
        <f aca="false">ROW()-5</f>
        <v>32</v>
      </c>
      <c r="B37" s="4" t="s">
        <v>83</v>
      </c>
      <c r="C37" s="4" t="s">
        <v>164</v>
      </c>
      <c r="D37" s="12" t="n">
        <v>1.05674187767322</v>
      </c>
      <c r="E37" s="26" t="n">
        <v>3.53636671283838</v>
      </c>
      <c r="F37" s="10" t="n">
        <f aca="false">D37*E37</f>
        <v>3.7370268002659</v>
      </c>
      <c r="G37" s="10" t="n">
        <f aca="false">F37*$C$3</f>
        <v>3.79475308305457</v>
      </c>
      <c r="H37" s="14" t="n">
        <f aca="false">G37/SUM(G$6:G$84)</f>
        <v>0.0032802212835486</v>
      </c>
      <c r="I37" s="14" t="n">
        <f aca="false">SUM(H$6:H37)</f>
        <v>0.983792757494385</v>
      </c>
      <c r="J37" s="4" t="str">
        <f aca="false">IF(I37-H37&lt;0.8,"A - top 80%",IF(I37-H37&lt;0.95,"B - next 15%","C - tail"))</f>
        <v>C - tail</v>
      </c>
      <c r="K37" s="12" t="n">
        <v>9.73195916362333</v>
      </c>
      <c r="L37" s="25" t="n">
        <f aca="false">RANK(K37,K$6:K$84)</f>
        <v>8</v>
      </c>
      <c r="M37" s="12" t="n">
        <v>4.3590753592044</v>
      </c>
      <c r="N37" s="14" t="n">
        <f aca="false">IF(M37&lt;0.05,"n/a",G37/M37-1)</f>
        <v>-0.129459169582429</v>
      </c>
    </row>
    <row r="38" customFormat="false" ht="15" hidden="false" customHeight="false" outlineLevel="0" collapsed="false">
      <c r="A38" s="25" t="n">
        <f aca="false">ROW()-5</f>
        <v>33</v>
      </c>
      <c r="B38" s="4" t="s">
        <v>78</v>
      </c>
      <c r="C38" s="4" t="s">
        <v>168</v>
      </c>
      <c r="D38" s="12" t="n">
        <v>1.44623385789872</v>
      </c>
      <c r="E38" s="26" t="n">
        <v>2.29385752215137</v>
      </c>
      <c r="F38" s="10" t="n">
        <f aca="false">D38*E38</f>
        <v>3.31745441373097</v>
      </c>
      <c r="G38" s="10" t="n">
        <f aca="false">F38*$C$3</f>
        <v>3.36869951360875</v>
      </c>
      <c r="H38" s="14" t="n">
        <f aca="false">G38/SUM(G$6:G$84)</f>
        <v>0.00291193645556631</v>
      </c>
      <c r="I38" s="14" t="n">
        <f aca="false">SUM(H$6:H38)</f>
        <v>0.986704693949951</v>
      </c>
      <c r="J38" s="4" t="str">
        <f aca="false">IF(I38-H38&lt;0.8,"A - top 80%",IF(I38-H38&lt;0.95,"B - next 15%","C - tail"))</f>
        <v>C - tail</v>
      </c>
      <c r="K38" s="12" t="n">
        <v>0.406729760879716</v>
      </c>
      <c r="L38" s="25" t="n">
        <f aca="false">RANK(K38,K$6:K$84)</f>
        <v>22</v>
      </c>
      <c r="M38" s="12" t="n">
        <v>0</v>
      </c>
      <c r="N38" s="14" t="str">
        <f aca="false">IF(M38&lt;0.05,"n/a",G38/M38-1)</f>
        <v>n/a</v>
      </c>
    </row>
    <row r="39" customFormat="false" ht="15" hidden="false" customHeight="false" outlineLevel="0" collapsed="false">
      <c r="A39" s="25" t="n">
        <f aca="false">ROW()-5</f>
        <v>34</v>
      </c>
      <c r="B39" s="4" t="s">
        <v>78</v>
      </c>
      <c r="C39" s="4" t="s">
        <v>170</v>
      </c>
      <c r="D39" s="12" t="n">
        <v>0.795371307244955</v>
      </c>
      <c r="E39" s="26" t="n">
        <v>2.74419042126744</v>
      </c>
      <c r="F39" s="10" t="n">
        <f aca="false">D39*E39</f>
        <v>2.18265032269257</v>
      </c>
      <c r="G39" s="10" t="n">
        <f aca="false">F39*$C$3</f>
        <v>2.21636597325937</v>
      </c>
      <c r="H39" s="14" t="n">
        <f aca="false">G39/SUM(G$6:G$84)</f>
        <v>0.00191584819314942</v>
      </c>
      <c r="I39" s="14" t="n">
        <f aca="false">SUM(H$6:H39)</f>
        <v>0.988620542143101</v>
      </c>
      <c r="J39" s="4" t="str">
        <f aca="false">IF(I39-H39&lt;0.8,"A - top 80%",IF(I39-H39&lt;0.95,"B - next 15%","C - tail"))</f>
        <v>C - tail</v>
      </c>
      <c r="K39" s="12" t="n">
        <v>-0.208990949574716</v>
      </c>
      <c r="L39" s="25" t="n">
        <f aca="false">RANK(K39,K$6:K$84)</f>
        <v>56</v>
      </c>
      <c r="M39" s="12" t="n">
        <v>2.31554246920333</v>
      </c>
      <c r="N39" s="14" t="n">
        <f aca="false">IF(M39&lt;0.05,"n/a",G39/M39-1)</f>
        <v>-0.0428307825328209</v>
      </c>
    </row>
    <row r="40" customFormat="false" ht="15" hidden="false" customHeight="false" outlineLevel="0" collapsed="false">
      <c r="A40" s="25" t="n">
        <f aca="false">ROW()-5</f>
        <v>35</v>
      </c>
      <c r="B40" s="4" t="s">
        <v>83</v>
      </c>
      <c r="C40" s="4" t="s">
        <v>165</v>
      </c>
      <c r="D40" s="12" t="n">
        <v>0.596357175978724</v>
      </c>
      <c r="E40" s="26" t="n">
        <v>3.53636671283838</v>
      </c>
      <c r="F40" s="10" t="n">
        <f aca="false">D40*E40</f>
        <v>2.10893766609346</v>
      </c>
      <c r="G40" s="10" t="n">
        <f aca="false">F40*$C$3</f>
        <v>2.14151466877589</v>
      </c>
      <c r="H40" s="14" t="n">
        <f aca="false">G40/SUM(G$6:G$84)</f>
        <v>0.00185114600128232</v>
      </c>
      <c r="I40" s="14" t="n">
        <f aca="false">SUM(H$6:H40)</f>
        <v>0.990471688144383</v>
      </c>
      <c r="J40" s="4" t="str">
        <f aca="false">IF(I40-H40&lt;0.8,"A - top 80%",IF(I40-H40&lt;0.95,"B - next 15%","C - tail"))</f>
        <v>C - tail</v>
      </c>
      <c r="K40" s="12" t="n">
        <v>3.66297057354178</v>
      </c>
      <c r="L40" s="25" t="n">
        <f aca="false">RANK(K40,K$6:K$84)</f>
        <v>18</v>
      </c>
      <c r="M40" s="12" t="n">
        <v>1.17498882557359</v>
      </c>
      <c r="N40" s="14" t="n">
        <f aca="false">IF(M40&lt;0.05,"n/a",G40/M40-1)</f>
        <v>0.822583008591997</v>
      </c>
    </row>
    <row r="41" customFormat="false" ht="15" hidden="false" customHeight="false" outlineLevel="0" collapsed="false">
      <c r="A41" s="25" t="n">
        <f aca="false">ROW()-5</f>
        <v>36</v>
      </c>
      <c r="B41" s="4" t="s">
        <v>78</v>
      </c>
      <c r="C41" s="4" t="s">
        <v>171</v>
      </c>
      <c r="D41" s="12" t="n">
        <v>0.6944404705972</v>
      </c>
      <c r="E41" s="26" t="n">
        <v>2.5620410103351</v>
      </c>
      <c r="F41" s="10" t="n">
        <f aca="false">D41*E41</f>
        <v>1.77918496490643</v>
      </c>
      <c r="G41" s="10" t="n">
        <f aca="false">F41*$C$3</f>
        <v>1.80666823968793</v>
      </c>
      <c r="H41" s="14" t="n">
        <f aca="false">G41/SUM(G$6:G$84)</f>
        <v>0.00156170150795828</v>
      </c>
      <c r="I41" s="14" t="n">
        <f aca="false">SUM(H$6:H41)</f>
        <v>0.992033389652341</v>
      </c>
      <c r="J41" s="4" t="str">
        <f aca="false">IF(I41-H41&lt;0.8,"A - top 80%",IF(I41-H41&lt;0.95,"B - next 15%","C - tail"))</f>
        <v>C - tail</v>
      </c>
      <c r="K41" s="12" t="n">
        <v>0.439599371137855</v>
      </c>
      <c r="L41" s="25" t="n">
        <f aca="false">RANK(K41,K$6:K$84)</f>
        <v>21</v>
      </c>
      <c r="M41" s="12" t="n">
        <v>1.74255043649382</v>
      </c>
      <c r="N41" s="14" t="n">
        <f aca="false">IF(M41&lt;0.05,"n/a",G41/M41-1)</f>
        <v>0.0367953786882196</v>
      </c>
    </row>
    <row r="42" customFormat="false" ht="15" hidden="false" customHeight="false" outlineLevel="0" collapsed="false">
      <c r="A42" s="25" t="n">
        <f aca="false">ROW()-5</f>
        <v>37</v>
      </c>
      <c r="B42" s="4" t="s">
        <v>83</v>
      </c>
      <c r="C42" s="4" t="s">
        <v>192</v>
      </c>
      <c r="D42" s="12" t="n">
        <v>0.397658500716673</v>
      </c>
      <c r="E42" s="26" t="n">
        <v>4.42045839104797</v>
      </c>
      <c r="F42" s="10" t="n">
        <f aca="false">D42*E42</f>
        <v>1.75783285626457</v>
      </c>
      <c r="G42" s="10" t="n">
        <f aca="false">F42*$C$3</f>
        <v>1.78498630256812</v>
      </c>
      <c r="H42" s="14" t="n">
        <f aca="false">G42/SUM(G$6:G$84)</f>
        <v>0.00154295943171449</v>
      </c>
      <c r="I42" s="14" t="n">
        <f aca="false">SUM(H$6:H42)</f>
        <v>0.993576349084056</v>
      </c>
      <c r="J42" s="4" t="str">
        <f aca="false">IF(I42-H42&lt;0.8,"A - top 80%",IF(I42-H42&lt;0.95,"B - next 15%","C - tail"))</f>
        <v>C - tail</v>
      </c>
      <c r="K42" s="12" t="n">
        <v>-1.14135474360105</v>
      </c>
      <c r="L42" s="25" t="n">
        <f aca="false">RANK(K42,K$6:K$84)</f>
        <v>64</v>
      </c>
      <c r="M42" s="12" t="n">
        <v>5.52692650942549</v>
      </c>
      <c r="N42" s="14" t="n">
        <f aca="false">IF(M42&lt;0.05,"n/a",G42/M42-1)</f>
        <v>-0.677038169491841</v>
      </c>
    </row>
    <row r="43" customFormat="false" ht="15" hidden="false" customHeight="false" outlineLevel="0" collapsed="false">
      <c r="A43" s="25" t="n">
        <f aca="false">ROW()-5</f>
        <v>38</v>
      </c>
      <c r="B43" s="4" t="s">
        <v>83</v>
      </c>
      <c r="C43" s="4" t="s">
        <v>193</v>
      </c>
      <c r="D43" s="12" t="n">
        <v>0.389247200446142</v>
      </c>
      <c r="E43" s="26" t="n">
        <v>3.53636671283838</v>
      </c>
      <c r="F43" s="10" t="n">
        <f aca="false">D43*E43</f>
        <v>1.37652084272326</v>
      </c>
      <c r="G43" s="10" t="n">
        <f aca="false">F43*$C$3</f>
        <v>1.39778411849798</v>
      </c>
      <c r="H43" s="14" t="n">
        <f aca="false">G43/SUM(G$6:G$84)</f>
        <v>0.00120825811718231</v>
      </c>
      <c r="I43" s="14" t="n">
        <f aca="false">SUM(H$6:H43)</f>
        <v>0.994784607201238</v>
      </c>
      <c r="J43" s="4" t="str">
        <f aca="false">IF(I43-H43&lt;0.8,"A - top 80%",IF(I43-H43&lt;0.95,"B - next 15%","C - tail"))</f>
        <v>C - tail</v>
      </c>
      <c r="K43" s="12" t="n">
        <v>3.92422612949067</v>
      </c>
      <c r="L43" s="25" t="n">
        <f aca="false">RANK(K43,K$6:K$84)</f>
        <v>15</v>
      </c>
      <c r="M43" s="12" t="n">
        <v>0.955290299950601</v>
      </c>
      <c r="N43" s="14" t="n">
        <f aca="false">IF(M43&lt;0.05,"n/a",G43/M43-1)</f>
        <v>0.463203508473033</v>
      </c>
    </row>
    <row r="44" customFormat="false" ht="15" hidden="false" customHeight="false" outlineLevel="0" collapsed="false">
      <c r="A44" s="25" t="n">
        <f aca="false">ROW()-5</f>
        <v>39</v>
      </c>
      <c r="B44" s="4" t="s">
        <v>83</v>
      </c>
      <c r="C44" s="4" t="s">
        <v>194</v>
      </c>
      <c r="D44" s="12" t="n">
        <v>0.385211230831868</v>
      </c>
      <c r="E44" s="26" t="n">
        <v>3.53636671283838</v>
      </c>
      <c r="F44" s="10" t="n">
        <f aca="false">D44*E44</f>
        <v>1.36224817412532</v>
      </c>
      <c r="G44" s="10" t="n">
        <f aca="false">F44*$C$3</f>
        <v>1.38329097834666</v>
      </c>
      <c r="H44" s="14" t="n">
        <f aca="false">G44/SUM(G$6:G$84)</f>
        <v>0.00119573010659789</v>
      </c>
      <c r="I44" s="14" t="n">
        <f aca="false">SUM(H$6:H44)</f>
        <v>0.995980337307836</v>
      </c>
      <c r="J44" s="4" t="str">
        <f aca="false">IF(I44-H44&lt;0.8,"A - top 80%",IF(I44-H44&lt;0.95,"B - next 15%","C - tail"))</f>
        <v>C - tail</v>
      </c>
      <c r="K44" s="12" t="n">
        <v>3.80097091887231</v>
      </c>
      <c r="L44" s="25" t="n">
        <f aca="false">RANK(K44,K$6:K$84)</f>
        <v>17</v>
      </c>
      <c r="M44" s="12" t="n">
        <v>1.58445541225448</v>
      </c>
      <c r="N44" s="14" t="n">
        <f aca="false">IF(M44&lt;0.05,"n/a",G44/M44-1)</f>
        <v>-0.126961246338631</v>
      </c>
    </row>
    <row r="45" customFormat="false" ht="15" hidden="false" customHeight="false" outlineLevel="0" collapsed="false">
      <c r="A45" s="25" t="n">
        <f aca="false">ROW()-5</f>
        <v>40</v>
      </c>
      <c r="B45" s="4" t="s">
        <v>83</v>
      </c>
      <c r="C45" s="4" t="s">
        <v>196</v>
      </c>
      <c r="D45" s="12" t="n">
        <v>0.29789161938898</v>
      </c>
      <c r="E45" s="26" t="n">
        <v>4.42045839104797</v>
      </c>
      <c r="F45" s="10" t="n">
        <f aca="false">D45*E45</f>
        <v>1.31681750855088</v>
      </c>
      <c r="G45" s="10" t="n">
        <f aca="false">F45*$C$3</f>
        <v>1.337158540056</v>
      </c>
      <c r="H45" s="14" t="n">
        <f aca="false">G45/SUM(G$6:G$84)</f>
        <v>0.00115585278055558</v>
      </c>
      <c r="I45" s="14" t="n">
        <f aca="false">SUM(H$6:H45)</f>
        <v>0.997136190088392</v>
      </c>
      <c r="J45" s="4" t="str">
        <f aca="false">IF(I45-H45&lt;0.8,"A - top 80%",IF(I45-H45&lt;0.95,"B - next 15%","C - tail"))</f>
        <v>C - tail</v>
      </c>
      <c r="K45" s="12" t="n">
        <v>-1.03238596013221</v>
      </c>
      <c r="L45" s="25" t="n">
        <f aca="false">RANK(K45,K$6:K$84)</f>
        <v>63</v>
      </c>
      <c r="M45" s="12" t="n">
        <v>2.08316496972538</v>
      </c>
      <c r="N45" s="14" t="n">
        <f aca="false">IF(M45&lt;0.05,"n/a",G45/M45-1)</f>
        <v>-0.358112026897093</v>
      </c>
    </row>
    <row r="46" customFormat="false" ht="15" hidden="false" customHeight="false" outlineLevel="0" collapsed="false">
      <c r="A46" s="25" t="n">
        <f aca="false">ROW()-5</f>
        <v>41</v>
      </c>
      <c r="B46" s="4" t="s">
        <v>83</v>
      </c>
      <c r="C46" s="4" t="s">
        <v>156</v>
      </c>
      <c r="D46" s="12" t="n">
        <v>0.280181232708954</v>
      </c>
      <c r="E46" s="26" t="n">
        <v>3.53636671283838</v>
      </c>
      <c r="F46" s="10" t="n">
        <f aca="false">D46*E46</f>
        <v>0.990823584913968</v>
      </c>
      <c r="G46" s="10" t="n">
        <f aca="false">F46*$C$3</f>
        <v>1.00612895078728</v>
      </c>
      <c r="H46" s="14" t="n">
        <f aca="false">G46/SUM(G$6:G$84)</f>
        <v>0.000869707600503553</v>
      </c>
      <c r="I46" s="14" t="n">
        <f aca="false">SUM(H$6:H46)</f>
        <v>0.998005897688895</v>
      </c>
      <c r="J46" s="4" t="str">
        <f aca="false">IF(I46-H46&lt;0.8,"A - top 80%",IF(I46-H46&lt;0.95,"B - next 15%","C - tail"))</f>
        <v>C - tail</v>
      </c>
      <c r="K46" s="12" t="n">
        <v>0.120414959223215</v>
      </c>
      <c r="L46" s="25" t="n">
        <f aca="false">RANK(K46,K$6:K$84)</f>
        <v>26</v>
      </c>
      <c r="M46" s="12" t="n">
        <v>0.288592007900242</v>
      </c>
      <c r="N46" s="14" t="n">
        <f aca="false">IF(M46&lt;0.05,"n/a",G46/M46-1)</f>
        <v>2.48633684663599</v>
      </c>
    </row>
    <row r="47" customFormat="false" ht="15" hidden="false" customHeight="false" outlineLevel="0" collapsed="false">
      <c r="A47" s="25" t="n">
        <f aca="false">ROW()-5</f>
        <v>42</v>
      </c>
      <c r="B47" s="4" t="s">
        <v>83</v>
      </c>
      <c r="C47" s="4" t="s">
        <v>226</v>
      </c>
      <c r="D47" s="12" t="n">
        <v>0.195739529857356</v>
      </c>
      <c r="E47" s="26" t="n">
        <v>3.53636671283838</v>
      </c>
      <c r="F47" s="10" t="n">
        <f aca="false">D47*E47</f>
        <v>0.692206757774187</v>
      </c>
      <c r="G47" s="10" t="n">
        <f aca="false">F47*$C$3</f>
        <v>0.702899355173986</v>
      </c>
      <c r="H47" s="14" t="n">
        <f aca="false">G47/SUM(G$6:G$84)</f>
        <v>0.000607593003963874</v>
      </c>
      <c r="I47" s="14" t="n">
        <f aca="false">SUM(H$6:H47)</f>
        <v>0.998613490692859</v>
      </c>
      <c r="J47" s="4" t="str">
        <f aca="false">IF(I47-H47&lt;0.8,"A - top 80%",IF(I47-H47&lt;0.95,"B - next 15%","C - tail"))</f>
        <v>C - tail</v>
      </c>
      <c r="K47" s="12" t="n">
        <v>-0.959260550107277</v>
      </c>
      <c r="L47" s="25" t="n">
        <f aca="false">RANK(K47,K$6:K$84)</f>
        <v>62</v>
      </c>
      <c r="M47" s="12" t="n">
        <v>0.686333853128328</v>
      </c>
      <c r="N47" s="14" t="n">
        <f aca="false">IF(M47&lt;0.05,"n/a",G47/M47-1)</f>
        <v>0.0241362158811653</v>
      </c>
    </row>
    <row r="48" customFormat="false" ht="15" hidden="false" customHeight="false" outlineLevel="0" collapsed="false">
      <c r="A48" s="25" t="n">
        <f aca="false">ROW()-5</f>
        <v>43</v>
      </c>
      <c r="B48" s="4" t="s">
        <v>78</v>
      </c>
      <c r="C48" s="4" t="s">
        <v>172</v>
      </c>
      <c r="D48" s="12" t="n">
        <v>0.120753338957339</v>
      </c>
      <c r="E48" s="26" t="n">
        <v>2.86732190268921</v>
      </c>
      <c r="F48" s="10" t="n">
        <f aca="false">D48*E48</f>
        <v>0.346238693615231</v>
      </c>
      <c r="G48" s="10" t="n">
        <f aca="false">F48*$C$3</f>
        <v>0.351587082537299</v>
      </c>
      <c r="H48" s="14" t="n">
        <f aca="false">G48/SUM(G$6:G$84)</f>
        <v>0.000303915276150531</v>
      </c>
      <c r="I48" s="14" t="n">
        <f aca="false">SUM(H$6:H48)</f>
        <v>0.99891740596901</v>
      </c>
      <c r="J48" s="4" t="str">
        <f aca="false">IF(I48-H48&lt;0.8,"A - top 80%",IF(I48-H48&lt;0.95,"B - next 15%","C - tail"))</f>
        <v>C - tail</v>
      </c>
      <c r="K48" s="12" t="n">
        <v>0.546470899221748</v>
      </c>
      <c r="L48" s="25" t="n">
        <f aca="false">RANK(K48,K$6:K$84)</f>
        <v>20</v>
      </c>
      <c r="M48" s="12" t="n">
        <v>0</v>
      </c>
      <c r="N48" s="14" t="str">
        <f aca="false">IF(M48&lt;0.05,"n/a",G48/M48-1)</f>
        <v>n/a</v>
      </c>
    </row>
    <row r="49" customFormat="false" ht="15" hidden="false" customHeight="false" outlineLevel="0" collapsed="false">
      <c r="A49" s="25" t="n">
        <f aca="false">ROW()-5</f>
        <v>44</v>
      </c>
      <c r="B49" s="4" t="s">
        <v>83</v>
      </c>
      <c r="C49" s="4" t="s">
        <v>199</v>
      </c>
      <c r="D49" s="12" t="n">
        <v>0.0932663941718814</v>
      </c>
      <c r="E49" s="26" t="n">
        <v>3.53636671283838</v>
      </c>
      <c r="F49" s="10" t="n">
        <f aca="false">D49*E49</f>
        <v>0.329824171775905</v>
      </c>
      <c r="G49" s="10" t="n">
        <f aca="false">F49*$C$3</f>
        <v>0.334919003691245</v>
      </c>
      <c r="H49" s="14" t="n">
        <f aca="false">G49/SUM(G$6:G$84)</f>
        <v>0.000289507227513363</v>
      </c>
      <c r="I49" s="14" t="n">
        <f aca="false">SUM(H$6:H49)</f>
        <v>0.999206913196523</v>
      </c>
      <c r="J49" s="4" t="str">
        <f aca="false">IF(I49-H49&lt;0.8,"A - top 80%",IF(I49-H49&lt;0.95,"B - next 15%","C - tail"))</f>
        <v>C - tail</v>
      </c>
      <c r="K49" s="12" t="n">
        <v>-0.0243640467304965</v>
      </c>
      <c r="L49" s="25" t="n">
        <f aca="false">RANK(K49,K$6:K$84)</f>
        <v>48</v>
      </c>
      <c r="M49" s="12" t="n">
        <v>0.244969166049997</v>
      </c>
      <c r="N49" s="14" t="n">
        <f aca="false">IF(M49&lt;0.05,"n/a",G49/M49-1)</f>
        <v>0.367188406164101</v>
      </c>
    </row>
    <row r="50" customFormat="false" ht="15" hidden="false" customHeight="false" outlineLevel="0" collapsed="false">
      <c r="A50" s="25" t="n">
        <f aca="false">ROW()-5</f>
        <v>45</v>
      </c>
      <c r="B50" s="4" t="s">
        <v>78</v>
      </c>
      <c r="C50" s="4" t="s">
        <v>176</v>
      </c>
      <c r="D50" s="12" t="n">
        <v>0.0820950033261518</v>
      </c>
      <c r="E50" s="26" t="n">
        <v>2.86732190268921</v>
      </c>
      <c r="F50" s="10" t="n">
        <f aca="false">D50*E50</f>
        <v>0.235392801138419</v>
      </c>
      <c r="G50" s="10" t="n">
        <f aca="false">F50*$C$3</f>
        <v>0.239028940810729</v>
      </c>
      <c r="H50" s="14" t="n">
        <f aca="false">G50/SUM(G$6:G$84)</f>
        <v>0.00020661892931392</v>
      </c>
      <c r="I50" s="14" t="n">
        <f aca="false">SUM(H$6:H50)</f>
        <v>0.999413532125837</v>
      </c>
      <c r="J50" s="4" t="str">
        <f aca="false">IF(I50-H50&lt;0.8,"A - top 80%",IF(I50-H50&lt;0.95,"B - next 15%","C - tail"))</f>
        <v>C - tail</v>
      </c>
      <c r="K50" s="12" t="n">
        <v>0.384565288457017</v>
      </c>
      <c r="L50" s="25" t="n">
        <f aca="false">RANK(K50,K$6:K$84)</f>
        <v>23</v>
      </c>
      <c r="M50" s="12" t="n">
        <v>0</v>
      </c>
      <c r="N50" s="14" t="str">
        <f aca="false">IF(M50&lt;0.05,"n/a",G50/M50-1)</f>
        <v>n/a</v>
      </c>
    </row>
    <row r="51" customFormat="false" ht="15" hidden="false" customHeight="false" outlineLevel="0" collapsed="false">
      <c r="A51" s="25" t="n">
        <f aca="false">ROW()-5</f>
        <v>46</v>
      </c>
      <c r="B51" s="4" t="s">
        <v>83</v>
      </c>
      <c r="C51" s="4" t="s">
        <v>166</v>
      </c>
      <c r="D51" s="12" t="n">
        <v>0.0440778159556637</v>
      </c>
      <c r="E51" s="26" t="n">
        <v>3.53636671283838</v>
      </c>
      <c r="F51" s="10" t="n">
        <f aca="false">D51*E51</f>
        <v>0.155875321120225</v>
      </c>
      <c r="G51" s="10" t="n">
        <f aca="false">F51*$C$3</f>
        <v>0.158283145133187</v>
      </c>
      <c r="H51" s="14" t="n">
        <f aca="false">G51/SUM(G$6:G$84)</f>
        <v>0.000136821482222754</v>
      </c>
      <c r="I51" s="14" t="n">
        <f aca="false">SUM(H$6:H51)</f>
        <v>0.99955035360806</v>
      </c>
      <c r="J51" s="4" t="str">
        <f aca="false">IF(I51-H51&lt;0.8,"A - top 80%",IF(I51-H51&lt;0.95,"B - next 15%","C - tail"))</f>
        <v>C - tail</v>
      </c>
      <c r="K51" s="12" t="n">
        <v>0.177942720359756</v>
      </c>
      <c r="L51" s="25" t="n">
        <f aca="false">RANK(K51,K$6:K$84)</f>
        <v>24</v>
      </c>
      <c r="M51" s="12" t="n">
        <v>0.146196677494605</v>
      </c>
      <c r="N51" s="14" t="n">
        <f aca="false">IF(M51&lt;0.05,"n/a",G51/M51-1)</f>
        <v>0.0826726560802169</v>
      </c>
    </row>
    <row r="52" customFormat="false" ht="15" hidden="false" customHeight="false" outlineLevel="0" collapsed="false">
      <c r="A52" s="25" t="n">
        <f aca="false">ROW()-5</f>
        <v>47</v>
      </c>
      <c r="B52" s="4" t="s">
        <v>83</v>
      </c>
      <c r="C52" s="4" t="s">
        <v>227</v>
      </c>
      <c r="D52" s="12" t="n">
        <v>0.025271317172159</v>
      </c>
      <c r="E52" s="26" t="n">
        <v>3.53636671283838</v>
      </c>
      <c r="F52" s="10" t="n">
        <f aca="false">D52*E52</f>
        <v>0.089368644837204</v>
      </c>
      <c r="G52" s="10" t="n">
        <f aca="false">F52*$C$3</f>
        <v>0.0907491325725196</v>
      </c>
      <c r="H52" s="14" t="n">
        <f aca="false">G52/SUM(G$6:G$84)</f>
        <v>7.84444282968574E-005</v>
      </c>
      <c r="I52" s="14" t="n">
        <f aca="false">SUM(H$6:H52)</f>
        <v>0.999628798036357</v>
      </c>
      <c r="J52" s="4" t="str">
        <f aca="false">IF(I52-H52&lt;0.8,"A - top 80%",IF(I52-H52&lt;0.95,"B - next 15%","C - tail"))</f>
        <v>C - tail</v>
      </c>
      <c r="K52" s="12" t="n">
        <v>-0.0948060811816492</v>
      </c>
      <c r="L52" s="25" t="n">
        <f aca="false">RANK(K52,K$6:K$84)</f>
        <v>52</v>
      </c>
      <c r="M52" s="12" t="n">
        <v>0.110075165169431</v>
      </c>
      <c r="N52" s="14" t="n">
        <f aca="false">IF(M52&lt;0.05,"n/a",G52/M52-1)</f>
        <v>-0.175571234139544</v>
      </c>
    </row>
    <row r="53" customFormat="false" ht="15" hidden="false" customHeight="false" outlineLevel="0" collapsed="false">
      <c r="A53" s="25" t="n">
        <f aca="false">ROW()-5</f>
        <v>48</v>
      </c>
      <c r="B53" s="4" t="s">
        <v>83</v>
      </c>
      <c r="C53" s="4" t="s">
        <v>228</v>
      </c>
      <c r="D53" s="12" t="n">
        <v>0.0192257926987147</v>
      </c>
      <c r="E53" s="26" t="n">
        <v>3.53636671283838</v>
      </c>
      <c r="F53" s="10" t="n">
        <f aca="false">D53*E53</f>
        <v>0.0679894533276657</v>
      </c>
      <c r="G53" s="10" t="n">
        <f aca="false">F53*$C$3</f>
        <v>0.0690396942328583</v>
      </c>
      <c r="H53" s="14" t="n">
        <f aca="false">G53/SUM(G$6:G$84)</f>
        <v>5.9678579732523E-005</v>
      </c>
      <c r="I53" s="14" t="n">
        <f aca="false">SUM(H$6:H53)</f>
        <v>0.999688476616089</v>
      </c>
      <c r="J53" s="4" t="str">
        <f aca="false">IF(I53-H53&lt;0.8,"A - top 80%",IF(I53-H53&lt;0.95,"B - next 15%","C - tail"))</f>
        <v>C - tail</v>
      </c>
      <c r="K53" s="12" t="n">
        <v>-0.377500277190188</v>
      </c>
      <c r="L53" s="25" t="n">
        <f aca="false">RANK(K53,K$6:K$84)</f>
        <v>59</v>
      </c>
      <c r="M53" s="12" t="n">
        <v>0.810423762622317</v>
      </c>
      <c r="N53" s="14" t="n">
        <f aca="false">IF(M53&lt;0.05,"n/a",G53/M53-1)</f>
        <v>-0.914810377709726</v>
      </c>
    </row>
    <row r="54" customFormat="false" ht="15" hidden="false" customHeight="false" outlineLevel="0" collapsed="false">
      <c r="A54" s="25" t="n">
        <f aca="false">ROW()-5</f>
        <v>49</v>
      </c>
      <c r="B54" s="4" t="s">
        <v>83</v>
      </c>
      <c r="C54" s="4" t="s">
        <v>229</v>
      </c>
      <c r="D54" s="12" t="n">
        <v>0.0175797757774754</v>
      </c>
      <c r="E54" s="26" t="n">
        <v>3.53636671283838</v>
      </c>
      <c r="F54" s="10" t="n">
        <f aca="false">D54*E54</f>
        <v>0.0621685338786263</v>
      </c>
      <c r="G54" s="10" t="n">
        <f aca="false">F54*$C$3</f>
        <v>0.0631288583716107</v>
      </c>
      <c r="H54" s="14" t="n">
        <f aca="false">G54/SUM(G$6:G$84)</f>
        <v>5.45691960199944E-005</v>
      </c>
      <c r="I54" s="14" t="n">
        <f aca="false">SUM(H$6:H54)</f>
        <v>0.999743045812109</v>
      </c>
      <c r="J54" s="4" t="str">
        <f aca="false">IF(I54-H54&lt;0.8,"A - top 80%",IF(I54-H54&lt;0.95,"B - next 15%","C - tail"))</f>
        <v>C - tail</v>
      </c>
      <c r="K54" s="12" t="n">
        <v>-0.00781188804285691</v>
      </c>
      <c r="L54" s="25" t="n">
        <f aca="false">RANK(K54,K$6:K$84)</f>
        <v>44</v>
      </c>
      <c r="M54" s="12" t="n">
        <v>0.0139139635747851</v>
      </c>
      <c r="N54" s="14" t="str">
        <f aca="false">IF(M54&lt;0.05,"n/a",G54/M54-1)</f>
        <v>n/a</v>
      </c>
    </row>
    <row r="55" customFormat="false" ht="15" hidden="false" customHeight="false" outlineLevel="0" collapsed="false">
      <c r="A55" s="25" t="n">
        <f aca="false">ROW()-5</f>
        <v>50</v>
      </c>
      <c r="B55" s="4" t="s">
        <v>83</v>
      </c>
      <c r="C55" s="4" t="s">
        <v>171</v>
      </c>
      <c r="D55" s="12" t="n">
        <v>0.0155775918061014</v>
      </c>
      <c r="E55" s="26" t="n">
        <v>3.53636671283838</v>
      </c>
      <c r="F55" s="10" t="n">
        <f aca="false">D55*E55</f>
        <v>0.0550880771292808</v>
      </c>
      <c r="G55" s="10" t="n">
        <f aca="false">F55*$C$3</f>
        <v>0.0559390289925168</v>
      </c>
      <c r="H55" s="14" t="n">
        <f aca="false">G55/SUM(G$6:G$84)</f>
        <v>4.83542379349211E-005</v>
      </c>
      <c r="I55" s="14" t="n">
        <f aca="false">SUM(H$6:H55)</f>
        <v>0.999791400050044</v>
      </c>
      <c r="J55" s="4" t="str">
        <f aca="false">IF(I55-H55&lt;0.8,"A - top 80%",IF(I55-H55&lt;0.95,"B - next 15%","C - tail"))</f>
        <v>C - tail</v>
      </c>
      <c r="K55" s="12" t="n">
        <v>0.0748560183393073</v>
      </c>
      <c r="L55" s="25" t="n">
        <f aca="false">RANK(K55,K$6:K$84)</f>
        <v>28</v>
      </c>
      <c r="M55" s="12" t="n">
        <v>0.00628664696596303</v>
      </c>
      <c r="N55" s="14" t="str">
        <f aca="false">IF(M55&lt;0.05,"n/a",G55/M55-1)</f>
        <v>n/a</v>
      </c>
    </row>
    <row r="56" customFormat="false" ht="15" hidden="false" customHeight="false" outlineLevel="0" collapsed="false">
      <c r="A56" s="25" t="n">
        <f aca="false">ROW()-5</f>
        <v>51</v>
      </c>
      <c r="B56" s="4" t="s">
        <v>83</v>
      </c>
      <c r="C56" s="4" t="s">
        <v>173</v>
      </c>
      <c r="D56" s="12" t="n">
        <v>0.0151152296590885</v>
      </c>
      <c r="E56" s="26" t="n">
        <v>3.53636671283838</v>
      </c>
      <c r="F56" s="10" t="n">
        <f aca="false">D56*E56</f>
        <v>0.0534529950233079</v>
      </c>
      <c r="G56" s="10" t="n">
        <f aca="false">F56*$C$3</f>
        <v>0.054278689585198</v>
      </c>
      <c r="H56" s="14" t="n">
        <f aca="false">G56/SUM(G$6:G$84)</f>
        <v>4.69190244855607E-005</v>
      </c>
      <c r="I56" s="14" t="n">
        <f aca="false">SUM(H$6:H56)</f>
        <v>0.99983831907453</v>
      </c>
      <c r="J56" s="4" t="str">
        <f aca="false">IF(I56-H56&lt;0.8,"A - top 80%",IF(I56-H56&lt;0.95,"B - next 15%","C - tail"))</f>
        <v>C - tail</v>
      </c>
      <c r="K56" s="12" t="n">
        <v>-0.0429773041435893</v>
      </c>
      <c r="L56" s="25" t="n">
        <f aca="false">RANK(K56,K$6:K$84)</f>
        <v>49</v>
      </c>
      <c r="M56" s="12" t="n">
        <v>0.121621443686971</v>
      </c>
      <c r="N56" s="14" t="n">
        <f aca="false">IF(M56&lt;0.05,"n/a",G56/M56-1)</f>
        <v>-0.553707899366001</v>
      </c>
    </row>
    <row r="57" customFormat="false" ht="15" hidden="false" customHeight="false" outlineLevel="0" collapsed="false">
      <c r="A57" s="25" t="n">
        <f aca="false">ROW()-5</f>
        <v>52</v>
      </c>
      <c r="B57" s="4" t="s">
        <v>83</v>
      </c>
      <c r="C57" s="4" t="s">
        <v>168</v>
      </c>
      <c r="D57" s="12" t="n">
        <v>0.0142000914347785</v>
      </c>
      <c r="E57" s="26" t="n">
        <v>3.53636671283838</v>
      </c>
      <c r="F57" s="10" t="n">
        <f aca="false">D57*E57</f>
        <v>0.0502167306692122</v>
      </c>
      <c r="G57" s="10" t="n">
        <f aca="false">F57*$C$3</f>
        <v>0.0509924342834135</v>
      </c>
      <c r="H57" s="14" t="n">
        <f aca="false">G57/SUM(G$6:G$84)</f>
        <v>4.40783536044369E-005</v>
      </c>
      <c r="I57" s="14" t="n">
        <f aca="false">SUM(H$6:H57)</f>
        <v>0.999882397428134</v>
      </c>
      <c r="J57" s="4" t="str">
        <f aca="false">IF(I57-H57&lt;0.8,"A - top 80%",IF(I57-H57&lt;0.95,"B - next 15%","C - tail"))</f>
        <v>C - tail</v>
      </c>
      <c r="K57" s="12" t="n">
        <v>-1.79090017915409</v>
      </c>
      <c r="L57" s="25" t="n">
        <f aca="false">RANK(K57,K$6:K$84)</f>
        <v>68</v>
      </c>
      <c r="M57" s="12" t="n">
        <v>0</v>
      </c>
      <c r="N57" s="14" t="str">
        <f aca="false">IF(M57&lt;0.05,"n/a",G57/M57-1)</f>
        <v>n/a</v>
      </c>
    </row>
    <row r="58" customFormat="false" ht="15" hidden="false" customHeight="false" outlineLevel="0" collapsed="false">
      <c r="A58" s="25" t="n">
        <f aca="false">ROW()-5</f>
        <v>53</v>
      </c>
      <c r="B58" s="4" t="s">
        <v>83</v>
      </c>
      <c r="C58" s="4" t="s">
        <v>159</v>
      </c>
      <c r="D58" s="12" t="n">
        <v>0.0133203703154128</v>
      </c>
      <c r="E58" s="26" t="n">
        <v>3.53636671283838</v>
      </c>
      <c r="F58" s="10" t="n">
        <f aca="false">D58*E58</f>
        <v>0.0471057141861064</v>
      </c>
      <c r="G58" s="10" t="n">
        <f aca="false">F58*$C$3</f>
        <v>0.0478333615708872</v>
      </c>
      <c r="H58" s="14" t="n">
        <f aca="false">G58/SUM(G$6:G$84)</f>
        <v>4.13476205841043E-005</v>
      </c>
      <c r="I58" s="14" t="n">
        <f aca="false">SUM(H$6:H58)</f>
        <v>0.999923745048718</v>
      </c>
      <c r="J58" s="4" t="str">
        <f aca="false">IF(I58-H58&lt;0.8,"A - top 80%",IF(I58-H58&lt;0.95,"B - next 15%","C - tail"))</f>
        <v>C - tail</v>
      </c>
      <c r="K58" s="12" t="n">
        <v>-0.157971203333491</v>
      </c>
      <c r="L58" s="25" t="n">
        <f aca="false">RANK(K58,K$6:K$84)</f>
        <v>53</v>
      </c>
      <c r="M58" s="12" t="n">
        <v>0.0496898125990886</v>
      </c>
      <c r="N58" s="14" t="str">
        <f aca="false">IF(M58&lt;0.05,"n/a",G58/M58-1)</f>
        <v>n/a</v>
      </c>
    </row>
    <row r="59" customFormat="false" ht="15" hidden="false" customHeight="false" outlineLevel="0" collapsed="false">
      <c r="A59" s="25" t="n">
        <f aca="false">ROW()-5</f>
        <v>54</v>
      </c>
      <c r="B59" s="4" t="s">
        <v>78</v>
      </c>
      <c r="C59" s="4" t="s">
        <v>173</v>
      </c>
      <c r="D59" s="12" t="n">
        <v>0.0145140058894612</v>
      </c>
      <c r="E59" s="26" t="n">
        <v>2.86732190268921</v>
      </c>
      <c r="F59" s="10" t="n">
        <f aca="false">D59*E59</f>
        <v>0.0416163269826122</v>
      </c>
      <c r="G59" s="10" t="n">
        <f aca="false">F59*$C$3</f>
        <v>0.0422591791719123</v>
      </c>
      <c r="H59" s="14" t="n">
        <f aca="false">G59/SUM(G$6:G$84)</f>
        <v>3.65292433818696E-005</v>
      </c>
      <c r="I59" s="14" t="n">
        <f aca="false">SUM(H$6:H59)</f>
        <v>0.9999602742921</v>
      </c>
      <c r="J59" s="4" t="str">
        <f aca="false">IF(I59-H59&lt;0.8,"A - top 80%",IF(I59-H59&lt;0.95,"B - next 15%","C - tail"))</f>
        <v>C - tail</v>
      </c>
      <c r="K59" s="12" t="n">
        <v>-0.195715542468111</v>
      </c>
      <c r="L59" s="25" t="n">
        <f aca="false">RANK(K59,K$6:K$84)</f>
        <v>55</v>
      </c>
      <c r="M59" s="12" t="n">
        <v>0.119548645660215</v>
      </c>
      <c r="N59" s="14" t="n">
        <f aca="false">IF(M59&lt;0.05,"n/a",G59/M59-1)</f>
        <v>-0.646510598773132</v>
      </c>
    </row>
    <row r="60" customFormat="false" ht="15" hidden="false" customHeight="false" outlineLevel="0" collapsed="false">
      <c r="A60" s="25" t="n">
        <f aca="false">ROW()-5</f>
        <v>55</v>
      </c>
      <c r="B60" s="4" t="s">
        <v>78</v>
      </c>
      <c r="C60" s="4" t="s">
        <v>230</v>
      </c>
      <c r="D60" s="12" t="n">
        <v>0.00620875185323201</v>
      </c>
      <c r="E60" s="26" t="n">
        <v>2.86732190268921</v>
      </c>
      <c r="F60" s="10" t="n">
        <f aca="false">D60*E60</f>
        <v>0.0178024901771343</v>
      </c>
      <c r="G60" s="10" t="n">
        <f aca="false">F60*$C$3</f>
        <v>0.0180774872904102</v>
      </c>
      <c r="H60" s="14" t="n">
        <f aca="false">G60/SUM(G$6:G$84)</f>
        <v>1.56263549341006E-005</v>
      </c>
      <c r="I60" s="14" t="n">
        <f aca="false">SUM(H$6:H60)</f>
        <v>0.999975900647034</v>
      </c>
      <c r="J60" s="4" t="str">
        <f aca="false">IF(I60-H60&lt;0.8,"A - top 80%",IF(I60-H60&lt;0.95,"B - next 15%","C - tail"))</f>
        <v>C - tail</v>
      </c>
      <c r="K60" s="12" t="n">
        <v>-0.0139032881955346</v>
      </c>
      <c r="L60" s="25" t="n">
        <f aca="false">RANK(K60,K$6:K$84)</f>
        <v>47</v>
      </c>
      <c r="M60" s="12" t="n">
        <v>0.0142751772625316</v>
      </c>
      <c r="N60" s="14" t="str">
        <f aca="false">IF(M60&lt;0.05,"n/a",G60/M60-1)</f>
        <v>n/a</v>
      </c>
    </row>
    <row r="61" customFormat="false" ht="15" hidden="false" customHeight="false" outlineLevel="0" collapsed="false">
      <c r="A61" s="25" t="n">
        <f aca="false">ROW()-5</f>
        <v>56</v>
      </c>
      <c r="B61" s="4" t="s">
        <v>78</v>
      </c>
      <c r="C61" s="4" t="s">
        <v>231</v>
      </c>
      <c r="D61" s="12" t="n">
        <v>0.00320721924098735</v>
      </c>
      <c r="E61" s="26" t="n">
        <v>2.86732190268921</v>
      </c>
      <c r="F61" s="10" t="n">
        <f aca="false">D61*E61</f>
        <v>0.00919612997640929</v>
      </c>
      <c r="G61" s="10" t="n">
        <f aca="false">F61*$C$3</f>
        <v>0.0093381836538252</v>
      </c>
      <c r="H61" s="14" t="n">
        <f aca="false">G61/SUM(G$6:G$84)</f>
        <v>8.07201630792445E-006</v>
      </c>
      <c r="I61" s="14" t="n">
        <f aca="false">SUM(H$6:H61)</f>
        <v>0.999983972663342</v>
      </c>
      <c r="J61" s="4" t="str">
        <f aca="false">IF(I61-H61&lt;0.8,"A - top 80%",IF(I61-H61&lt;0.95,"B - next 15%","C - tail"))</f>
        <v>C - tail</v>
      </c>
      <c r="K61" s="12" t="n">
        <v>0.01380567411638</v>
      </c>
      <c r="L61" s="25" t="n">
        <f aca="false">RANK(K61,K$6:K$84)</f>
        <v>29</v>
      </c>
      <c r="M61" s="12" t="n">
        <v>0</v>
      </c>
      <c r="N61" s="14" t="str">
        <f aca="false">IF(M61&lt;0.05,"n/a",G61/M61-1)</f>
        <v>n/a</v>
      </c>
    </row>
    <row r="62" customFormat="false" ht="15" hidden="false" customHeight="false" outlineLevel="0" collapsed="false">
      <c r="A62" s="25" t="n">
        <f aca="false">ROW()-5</f>
        <v>57</v>
      </c>
      <c r="B62" s="4" t="s">
        <v>83</v>
      </c>
      <c r="C62" s="4" t="s">
        <v>232</v>
      </c>
      <c r="D62" s="12" t="n">
        <v>0.00120356548736009</v>
      </c>
      <c r="E62" s="26" t="n">
        <v>3.53636671283838</v>
      </c>
      <c r="F62" s="10" t="n">
        <f aca="false">D62*E62</f>
        <v>0.00425624892622132</v>
      </c>
      <c r="G62" s="10" t="n">
        <f aca="false">F62*$C$3</f>
        <v>0.00432199569290668</v>
      </c>
      <c r="H62" s="14" t="n">
        <f aca="false">G62/SUM(G$6:G$84)</f>
        <v>3.73597489717726E-006</v>
      </c>
      <c r="I62" s="14" t="n">
        <f aca="false">SUM(H$6:H62)</f>
        <v>0.999987708638239</v>
      </c>
      <c r="J62" s="4" t="str">
        <f aca="false">IF(I62-H62&lt;0.8,"A - top 80%",IF(I62-H62&lt;0.95,"B - next 15%","C - tail"))</f>
        <v>C - tail</v>
      </c>
      <c r="K62" s="12" t="n">
        <v>0.00361069646208027</v>
      </c>
      <c r="L62" s="25" t="n">
        <f aca="false">RANK(K62,K$6:K$84)</f>
        <v>30</v>
      </c>
      <c r="M62" s="12" t="n">
        <v>0.000526469132980733</v>
      </c>
      <c r="N62" s="14" t="str">
        <f aca="false">IF(M62&lt;0.05,"n/a",G62/M62-1)</f>
        <v>n/a</v>
      </c>
    </row>
    <row r="63" customFormat="false" ht="15" hidden="false" customHeight="false" outlineLevel="0" collapsed="false">
      <c r="A63" s="25" t="n">
        <f aca="false">ROW()-5</f>
        <v>58</v>
      </c>
      <c r="B63" s="4" t="s">
        <v>83</v>
      </c>
      <c r="C63" s="4" t="s">
        <v>203</v>
      </c>
      <c r="D63" s="12" t="n">
        <v>0.00126068647842161</v>
      </c>
      <c r="E63" s="26" t="n">
        <v>2.8290933702707</v>
      </c>
      <c r="F63" s="10" t="n">
        <f aca="false">D63*E63</f>
        <v>0.00356659975809249</v>
      </c>
      <c r="G63" s="10" t="n">
        <f aca="false">F63*$C$3</f>
        <v>0.00362169343475946</v>
      </c>
      <c r="H63" s="14" t="n">
        <f aca="false">G63/SUM(G$6:G$84)</f>
        <v>3.13062684901319E-006</v>
      </c>
      <c r="I63" s="14" t="n">
        <f aca="false">SUM(H$6:H63)</f>
        <v>0.999990839265088</v>
      </c>
      <c r="J63" s="4" t="str">
        <f aca="false">IF(I63-H63&lt;0.8,"A - top 80%",IF(I63-H63&lt;0.95,"B - next 15%","C - tail"))</f>
        <v>C - tail</v>
      </c>
      <c r="K63" s="12" t="n">
        <v>-6.01591260742843</v>
      </c>
      <c r="L63" s="25" t="n">
        <f aca="false">RANK(K63,K$6:K$84)</f>
        <v>77</v>
      </c>
      <c r="M63" s="12" t="n">
        <v>0.0936649199774053</v>
      </c>
      <c r="N63" s="14" t="n">
        <f aca="false">IF(M63&lt;0.05,"n/a",G63/M63-1)</f>
        <v>-0.961333512742731</v>
      </c>
    </row>
    <row r="64" customFormat="false" ht="15" hidden="false" customHeight="false" outlineLevel="0" collapsed="false">
      <c r="A64" s="25" t="n">
        <f aca="false">ROW()-5</f>
        <v>59</v>
      </c>
      <c r="B64" s="4" t="s">
        <v>83</v>
      </c>
      <c r="C64" s="4" t="s">
        <v>233</v>
      </c>
      <c r="D64" s="12" t="n">
        <v>0.000743094665857786</v>
      </c>
      <c r="E64" s="26" t="n">
        <v>3.53636671283838</v>
      </c>
      <c r="F64" s="10" t="n">
        <f aca="false">D64*E64</f>
        <v>0.00262785524082723</v>
      </c>
      <c r="G64" s="10" t="n">
        <f aca="false">F64*$C$3</f>
        <v>0.00266844802296861</v>
      </c>
      <c r="H64" s="14" t="n">
        <f aca="false">G64/SUM(G$6:G$84)</f>
        <v>2.3066322913266E-006</v>
      </c>
      <c r="I64" s="14" t="n">
        <f aca="false">SUM(H$6:H64)</f>
        <v>0.999993145897379</v>
      </c>
      <c r="J64" s="4" t="str">
        <f aca="false">IF(I64-H64&lt;0.8,"A - top 80%",IF(I64-H64&lt;0.95,"B - next 15%","C - tail"))</f>
        <v>C - tail</v>
      </c>
      <c r="K64" s="12" t="n">
        <v>-0.00782877521627311</v>
      </c>
      <c r="L64" s="25" t="n">
        <f aca="false">RANK(K64,K$6:K$84)</f>
        <v>45</v>
      </c>
      <c r="M64" s="12" t="n">
        <v>0.0034514876257168</v>
      </c>
      <c r="N64" s="14" t="str">
        <f aca="false">IF(M64&lt;0.05,"n/a",G64/M64-1)</f>
        <v>n/a</v>
      </c>
    </row>
    <row r="65" customFormat="false" ht="15" hidden="false" customHeight="false" outlineLevel="0" collapsed="false">
      <c r="A65" s="25" t="n">
        <f aca="false">ROW()-5</f>
        <v>60</v>
      </c>
      <c r="B65" s="4" t="s">
        <v>83</v>
      </c>
      <c r="C65" s="4" t="s">
        <v>169</v>
      </c>
      <c r="D65" s="12" t="n">
        <v>0.000714388021954134</v>
      </c>
      <c r="E65" s="26" t="n">
        <v>3.53636671283838</v>
      </c>
      <c r="F65" s="10" t="n">
        <f aca="false">D65*E65</f>
        <v>0.00252633802088905</v>
      </c>
      <c r="G65" s="10" t="n">
        <f aca="false">F65*$C$3</f>
        <v>0.00256536265485829</v>
      </c>
      <c r="H65" s="14" t="n">
        <f aca="false">G65/SUM(G$6:G$84)</f>
        <v>2.21752430166374E-006</v>
      </c>
      <c r="I65" s="14" t="n">
        <f aca="false">SUM(H$6:H65)</f>
        <v>0.999995363421681</v>
      </c>
      <c r="J65" s="4" t="str">
        <f aca="false">IF(I65-H65&lt;0.8,"A - top 80%",IF(I65-H65&lt;0.95,"B - next 15%","C - tail"))</f>
        <v>C - tail</v>
      </c>
      <c r="K65" s="12" t="n">
        <v>-0.055668060389035</v>
      </c>
      <c r="L65" s="25" t="n">
        <f aca="false">RANK(K65,K$6:K$84)</f>
        <v>50</v>
      </c>
      <c r="M65" s="12" t="n">
        <v>0.0106602127170698</v>
      </c>
      <c r="N65" s="14" t="str">
        <f aca="false">IF(M65&lt;0.05,"n/a",G65/M65-1)</f>
        <v>n/a</v>
      </c>
    </row>
    <row r="66" customFormat="false" ht="15" hidden="false" customHeight="false" outlineLevel="0" collapsed="false">
      <c r="A66" s="25" t="n">
        <f aca="false">ROW()-5</f>
        <v>61</v>
      </c>
      <c r="B66" s="4" t="s">
        <v>83</v>
      </c>
      <c r="C66" s="4" t="s">
        <v>234</v>
      </c>
      <c r="D66" s="12" t="n">
        <v>0.000648753378122616</v>
      </c>
      <c r="E66" s="26" t="n">
        <v>3.53636671283838</v>
      </c>
      <c r="F66" s="10" t="n">
        <f aca="false">D66*E66</f>
        <v>0.00229422985123427</v>
      </c>
      <c r="G66" s="10" t="n">
        <f aca="false">F66*$C$3</f>
        <v>0.0023296690836115</v>
      </c>
      <c r="H66" s="14" t="n">
        <f aca="false">G66/SUM(G$6:G$84)</f>
        <v>2.01378849807439E-006</v>
      </c>
      <c r="I66" s="14" t="n">
        <f aca="false">SUM(H$6:H66)</f>
        <v>0.999997377210179</v>
      </c>
      <c r="J66" s="4" t="str">
        <f aca="false">IF(I66-H66&lt;0.8,"A - top 80%",IF(I66-H66&lt;0.95,"B - next 15%","C - tail"))</f>
        <v>C - tail</v>
      </c>
      <c r="K66" s="12" t="n">
        <v>-0.0120107013758506</v>
      </c>
      <c r="L66" s="25" t="n">
        <f aca="false">RANK(K66,K$6:K$84)</f>
        <v>46</v>
      </c>
      <c r="M66" s="12" t="n">
        <v>0.000610315861389269</v>
      </c>
      <c r="N66" s="14" t="str">
        <f aca="false">IF(M66&lt;0.05,"n/a",G66/M66-1)</f>
        <v>n/a</v>
      </c>
    </row>
    <row r="67" customFormat="false" ht="15" hidden="false" customHeight="false" outlineLevel="0" collapsed="false">
      <c r="A67" s="25" t="n">
        <f aca="false">ROW()-5</f>
        <v>62</v>
      </c>
      <c r="B67" s="4" t="s">
        <v>83</v>
      </c>
      <c r="C67" s="4" t="s">
        <v>235</v>
      </c>
      <c r="D67" s="12" t="n">
        <v>0.000492646957852696</v>
      </c>
      <c r="E67" s="26" t="n">
        <v>3.53636671283838</v>
      </c>
      <c r="F67" s="10" t="n">
        <f aca="false">D67*E67</f>
        <v>0.00174218030293137</v>
      </c>
      <c r="G67" s="10" t="n">
        <f aca="false">F67*$C$3</f>
        <v>0.00176909196244334</v>
      </c>
      <c r="H67" s="14" t="n">
        <f aca="false">G67/SUM(G$6:G$84)</f>
        <v>1.52922021031479E-006</v>
      </c>
      <c r="I67" s="14" t="n">
        <f aca="false">SUM(H$6:H67)</f>
        <v>0.99999890643039</v>
      </c>
      <c r="J67" s="4" t="str">
        <f aca="false">IF(I67-H67&lt;0.8,"A - top 80%",IF(I67-H67&lt;0.95,"B - next 15%","C - tail"))</f>
        <v>C - tail</v>
      </c>
      <c r="K67" s="12" t="n">
        <v>-0.0031865299796497</v>
      </c>
      <c r="L67" s="25" t="n">
        <f aca="false">RANK(K67,K$6:K$84)</f>
        <v>40</v>
      </c>
      <c r="M67" s="12" t="n">
        <v>0.00577307732761713</v>
      </c>
      <c r="N67" s="14" t="str">
        <f aca="false">IF(M67&lt;0.05,"n/a",G67/M67-1)</f>
        <v>n/a</v>
      </c>
    </row>
    <row r="68" customFormat="false" ht="15" hidden="false" customHeight="false" outlineLevel="0" collapsed="false">
      <c r="A68" s="25" t="n">
        <f aca="false">ROW()-5</f>
        <v>63</v>
      </c>
      <c r="B68" s="4" t="s">
        <v>83</v>
      </c>
      <c r="C68" s="4" t="s">
        <v>204</v>
      </c>
      <c r="D68" s="12" t="n">
        <v>0.000439768091544797</v>
      </c>
      <c r="E68" s="26" t="n">
        <v>2.8290933702707</v>
      </c>
      <c r="F68" s="10" t="n">
        <f aca="false">D68*E68</f>
        <v>0.00124414499224598</v>
      </c>
      <c r="G68" s="10" t="n">
        <f aca="false">F68*$C$3</f>
        <v>0.00126336344303349</v>
      </c>
      <c r="H68" s="14" t="n">
        <f aca="false">G68/SUM(G$6:G$84)</f>
        <v>1.09206358463774E-006</v>
      </c>
      <c r="I68" s="14" t="n">
        <f aca="false">SUM(H$6:H68)</f>
        <v>0.999999998493974</v>
      </c>
      <c r="J68" s="4" t="str">
        <f aca="false">IF(I68-H68&lt;0.8,"A - top 80%",IF(I68-H68&lt;0.95,"B - next 15%","C - tail"))</f>
        <v>C - tail</v>
      </c>
      <c r="K68" s="12" t="n">
        <v>-4.81460854077375</v>
      </c>
      <c r="L68" s="25" t="n">
        <f aca="false">RANK(K68,K$6:K$84)</f>
        <v>73</v>
      </c>
      <c r="M68" s="12" t="n">
        <v>0.0930019727866877</v>
      </c>
      <c r="N68" s="14" t="n">
        <f aca="false">IF(M68&lt;0.05,"n/a",G68/M68-1)</f>
        <v>-0.986415735008856</v>
      </c>
    </row>
    <row r="69" customFormat="false" ht="15" hidden="false" customHeight="false" outlineLevel="0" collapsed="false">
      <c r="A69" s="25" t="n">
        <f aca="false">ROW()-5</f>
        <v>64</v>
      </c>
      <c r="B69" s="4" t="s">
        <v>78</v>
      </c>
      <c r="C69" s="4" t="s">
        <v>236</v>
      </c>
      <c r="D69" s="12" t="n">
        <v>4.79680375833966E-007</v>
      </c>
      <c r="E69" s="26" t="n">
        <v>2.86732190268921</v>
      </c>
      <c r="F69" s="10" t="n">
        <f aca="false">D69*E69</f>
        <v>1.37539804791892E-006</v>
      </c>
      <c r="G69" s="10" t="n">
        <f aca="false">F69*$C$3</f>
        <v>1.39664397975316E-006</v>
      </c>
      <c r="H69" s="14" t="n">
        <f aca="false">G69/SUM(G$6:G$84)</f>
        <v>1.20727257021915E-009</v>
      </c>
      <c r="I69" s="14" t="n">
        <f aca="false">SUM(H$6:H69)</f>
        <v>0.999999999701247</v>
      </c>
      <c r="J69" s="4" t="str">
        <f aca="false">IF(I69-H69&lt;0.8,"A - top 80%",IF(I69-H69&lt;0.95,"B - next 15%","C - tail"))</f>
        <v>C - tail</v>
      </c>
      <c r="K69" s="12" t="n">
        <v>1.4390411275019E-006</v>
      </c>
      <c r="L69" s="25" t="n">
        <f aca="false">RANK(K69,K$6:K$84)</f>
        <v>32</v>
      </c>
      <c r="M69" s="12" t="n">
        <v>0</v>
      </c>
      <c r="N69" s="14" t="str">
        <f aca="false">IF(M69&lt;0.05,"n/a",G69/M69-1)</f>
        <v>n/a</v>
      </c>
    </row>
    <row r="70" customFormat="false" ht="15" hidden="false" customHeight="false" outlineLevel="0" collapsed="false">
      <c r="A70" s="25" t="n">
        <f aca="false">ROW()-5</f>
        <v>65</v>
      </c>
      <c r="B70" s="4" t="s">
        <v>83</v>
      </c>
      <c r="C70" s="4" t="s">
        <v>237</v>
      </c>
      <c r="D70" s="12" t="n">
        <v>9.62450335854422E-008</v>
      </c>
      <c r="E70" s="26" t="n">
        <v>3.53636671283838</v>
      </c>
      <c r="F70" s="10" t="n">
        <f aca="false">D70*E70</f>
        <v>3.4035773304757E-007</v>
      </c>
      <c r="G70" s="10" t="n">
        <f aca="false">F70*$C$3</f>
        <v>3.45615278095365E-007</v>
      </c>
      <c r="H70" s="14" t="n">
        <f aca="false">G70/SUM(G$6:G$84)</f>
        <v>2.98753190606916E-010</v>
      </c>
      <c r="I70" s="14" t="n">
        <f aca="false">SUM(H$6:H70)</f>
        <v>1</v>
      </c>
      <c r="J70" s="4" t="str">
        <f aca="false">IF(I70-H70&lt;0.8,"A - top 80%",IF(I70-H70&lt;0.95,"B - next 15%","C - tail"))</f>
        <v>C - tail</v>
      </c>
      <c r="K70" s="12" t="n">
        <v>2.88735100756327E-007</v>
      </c>
      <c r="L70" s="25" t="n">
        <f aca="false">RANK(K70,K$6:K$84)</f>
        <v>33</v>
      </c>
      <c r="M70" s="12" t="n">
        <v>0</v>
      </c>
      <c r="N70" s="14" t="str">
        <f aca="false">IF(M70&lt;0.05,"n/a",G70/M70-1)</f>
        <v>n/a</v>
      </c>
    </row>
    <row r="71" customFormat="false" ht="15" hidden="false" customHeight="false" outlineLevel="0" collapsed="false">
      <c r="A71" s="25" t="n">
        <f aca="false">ROW()-5</f>
        <v>66</v>
      </c>
      <c r="B71" s="4" t="s">
        <v>83</v>
      </c>
      <c r="C71" s="4" t="s">
        <v>238</v>
      </c>
      <c r="D71" s="12" t="n">
        <v>0</v>
      </c>
      <c r="E71" s="26" t="n">
        <v>3.53636671283838</v>
      </c>
      <c r="F71" s="10" t="n">
        <f aca="false">D71*E71</f>
        <v>0</v>
      </c>
      <c r="G71" s="10" t="n">
        <f aca="false">F71*$C$3</f>
        <v>0</v>
      </c>
      <c r="H71" s="14" t="n">
        <f aca="false">G71/SUM(G$6:G$84)</f>
        <v>0</v>
      </c>
      <c r="I71" s="14" t="n">
        <f aca="false">SUM(H$6:H71)</f>
        <v>1</v>
      </c>
      <c r="J71" s="4" t="str">
        <f aca="false">IF(I71-H71&lt;0.8,"A - top 80%",IF(I71-H71&lt;0.95,"B - next 15%","C - tail"))</f>
        <v>C - tail</v>
      </c>
      <c r="K71" s="12" t="n">
        <v>0.00030057401494445</v>
      </c>
      <c r="L71" s="25" t="n">
        <f aca="false">RANK(K71,K$6:K$84)</f>
        <v>31</v>
      </c>
      <c r="M71" s="12" t="n">
        <v>0.000105144521375793</v>
      </c>
      <c r="N71" s="14" t="str">
        <f aca="false">IF(M71&lt;0.05,"n/a",G71/M71-1)</f>
        <v>n/a</v>
      </c>
    </row>
    <row r="72" customFormat="false" ht="15" hidden="false" customHeight="false" outlineLevel="0" collapsed="false">
      <c r="A72" s="25" t="n">
        <f aca="false">ROW()-5</f>
        <v>67</v>
      </c>
      <c r="B72" s="4" t="s">
        <v>83</v>
      </c>
      <c r="C72" s="4" t="s">
        <v>239</v>
      </c>
      <c r="D72" s="12" t="n">
        <v>0</v>
      </c>
      <c r="E72" s="26" t="n">
        <v>3.53636671283838</v>
      </c>
      <c r="F72" s="10" t="n">
        <f aca="false">D72*E72</f>
        <v>0</v>
      </c>
      <c r="G72" s="10" t="n">
        <f aca="false">F72*$C$3</f>
        <v>0</v>
      </c>
      <c r="H72" s="14" t="n">
        <f aca="false">G72/SUM(G$6:G$84)</f>
        <v>0</v>
      </c>
      <c r="I72" s="14" t="n">
        <f aca="false">SUM(H$6:H72)</f>
        <v>1</v>
      </c>
      <c r="J72" s="4" t="str">
        <f aca="false">IF(I72-H72&lt;0.8,"A - top 80%",IF(I72-H72&lt;0.95,"B - next 15%","C - tail"))</f>
        <v>C - tail</v>
      </c>
      <c r="K72" s="12" t="n">
        <v>-0.00411894849301685</v>
      </c>
      <c r="L72" s="25" t="n">
        <f aca="false">RANK(K72,K$6:K$84)</f>
        <v>42</v>
      </c>
      <c r="M72" s="12" t="n">
        <v>0</v>
      </c>
      <c r="N72" s="14" t="str">
        <f aca="false">IF(M72&lt;0.05,"n/a",G72/M72-1)</f>
        <v>n/a</v>
      </c>
    </row>
    <row r="73" customFormat="false" ht="15" hidden="false" customHeight="false" outlineLevel="0" collapsed="false">
      <c r="A73" s="25" t="n">
        <f aca="false">ROW()-5</f>
        <v>68</v>
      </c>
      <c r="B73" s="4" t="s">
        <v>83</v>
      </c>
      <c r="C73" s="4" t="s">
        <v>240</v>
      </c>
      <c r="D73" s="12" t="n">
        <v>0</v>
      </c>
      <c r="E73" s="26" t="n">
        <v>3.53636671283838</v>
      </c>
      <c r="F73" s="10" t="n">
        <f aca="false">D73*E73</f>
        <v>0</v>
      </c>
      <c r="G73" s="10" t="n">
        <f aca="false">F73*$C$3</f>
        <v>0</v>
      </c>
      <c r="H73" s="14" t="n">
        <f aca="false">G73/SUM(G$6:G$84)</f>
        <v>0</v>
      </c>
      <c r="I73" s="14" t="n">
        <f aca="false">SUM(H$6:H73)</f>
        <v>1</v>
      </c>
      <c r="J73" s="4" t="str">
        <f aca="false">IF(I73-H73&lt;0.8,"A - top 80%",IF(I73-H73&lt;0.95,"B - next 15%","C - tail"))</f>
        <v>C - tail</v>
      </c>
      <c r="K73" s="12" t="n">
        <v>-0.00629588439925624</v>
      </c>
      <c r="L73" s="25" t="n">
        <f aca="false">RANK(K73,K$6:K$84)</f>
        <v>43</v>
      </c>
      <c r="M73" s="12" t="n">
        <v>0</v>
      </c>
      <c r="N73" s="14" t="str">
        <f aca="false">IF(M73&lt;0.05,"n/a",G73/M73-1)</f>
        <v>n/a</v>
      </c>
    </row>
    <row r="74" customFormat="false" ht="15" hidden="false" customHeight="false" outlineLevel="0" collapsed="false">
      <c r="A74" s="25" t="n">
        <f aca="false">ROW()-5</f>
        <v>69</v>
      </c>
      <c r="B74" s="4" t="s">
        <v>83</v>
      </c>
      <c r="C74" s="4" t="s">
        <v>151</v>
      </c>
      <c r="D74" s="12" t="n">
        <v>0</v>
      </c>
      <c r="E74" s="26" t="n">
        <v>3.53636671283838</v>
      </c>
      <c r="F74" s="10" t="n">
        <f aca="false">D74*E74</f>
        <v>0</v>
      </c>
      <c r="G74" s="10" t="n">
        <f aca="false">F74*$C$3</f>
        <v>0</v>
      </c>
      <c r="H74" s="14" t="n">
        <f aca="false">G74/SUM(G$6:G$84)</f>
        <v>0</v>
      </c>
      <c r="I74" s="14" t="n">
        <f aca="false">SUM(H$6:H74)</f>
        <v>1</v>
      </c>
      <c r="J74" s="4" t="str">
        <f aca="false">IF(I74-H74&lt;0.8,"A - top 80%",IF(I74-H74&lt;0.95,"B - next 15%","C - tail"))</f>
        <v>C - tail</v>
      </c>
      <c r="K74" s="12" t="n">
        <v>-0.000420153659199176</v>
      </c>
      <c r="L74" s="25" t="n">
        <f aca="false">RANK(K74,K$6:K$84)</f>
        <v>39</v>
      </c>
      <c r="M74" s="12" t="n">
        <v>0.000826131847146167</v>
      </c>
      <c r="N74" s="14" t="str">
        <f aca="false">IF(M74&lt;0.05,"n/a",G74/M74-1)</f>
        <v>n/a</v>
      </c>
    </row>
    <row r="75" customFormat="false" ht="15" hidden="false" customHeight="false" outlineLevel="0" collapsed="false">
      <c r="A75" s="25" t="n">
        <f aca="false">ROW()-5</f>
        <v>70</v>
      </c>
      <c r="B75" s="4" t="s">
        <v>83</v>
      </c>
      <c r="C75" s="4" t="s">
        <v>154</v>
      </c>
      <c r="D75" s="12" t="n">
        <v>0</v>
      </c>
      <c r="E75" s="26" t="n">
        <v>3.53636671283838</v>
      </c>
      <c r="F75" s="10" t="n">
        <f aca="false">D75*E75</f>
        <v>0</v>
      </c>
      <c r="G75" s="10" t="n">
        <f aca="false">F75*$C$3</f>
        <v>0</v>
      </c>
      <c r="H75" s="14" t="n">
        <f aca="false">G75/SUM(G$6:G$84)</f>
        <v>0</v>
      </c>
      <c r="I75" s="14" t="n">
        <f aca="false">SUM(H$6:H75)</f>
        <v>1</v>
      </c>
      <c r="J75" s="4" t="str">
        <f aca="false">IF(I75-H75&lt;0.8,"A - top 80%",IF(I75-H75&lt;0.95,"B - next 15%","C - tail"))</f>
        <v>C - tail</v>
      </c>
      <c r="K75" s="12" t="n">
        <v>0</v>
      </c>
      <c r="L75" s="25" t="n">
        <f aca="false">RANK(K75,K$6:K$84)</f>
        <v>34</v>
      </c>
      <c r="M75" s="12" t="n">
        <v>0</v>
      </c>
      <c r="N75" s="14" t="str">
        <f aca="false">IF(M75&lt;0.05,"n/a",G75/M75-1)</f>
        <v>n/a</v>
      </c>
    </row>
    <row r="76" customFormat="false" ht="15" hidden="false" customHeight="false" outlineLevel="0" collapsed="false">
      <c r="A76" s="25" t="n">
        <f aca="false">ROW()-5</f>
        <v>71</v>
      </c>
      <c r="B76" s="4" t="s">
        <v>83</v>
      </c>
      <c r="C76" s="4" t="s">
        <v>205</v>
      </c>
      <c r="D76" s="12" t="n">
        <v>0</v>
      </c>
      <c r="E76" s="26" t="n">
        <v>2.8290933702707</v>
      </c>
      <c r="F76" s="10" t="n">
        <f aca="false">D76*E76</f>
        <v>0</v>
      </c>
      <c r="G76" s="10" t="n">
        <f aca="false">F76*$C$3</f>
        <v>0</v>
      </c>
      <c r="H76" s="14" t="n">
        <f aca="false">G76/SUM(G$6:G$84)</f>
        <v>0</v>
      </c>
      <c r="I76" s="14" t="n">
        <f aca="false">SUM(H$6:H76)</f>
        <v>1</v>
      </c>
      <c r="J76" s="4" t="str">
        <f aca="false">IF(I76-H76&lt;0.8,"A - top 80%",IF(I76-H76&lt;0.95,"B - next 15%","C - tail"))</f>
        <v>C - tail</v>
      </c>
      <c r="K76" s="12" t="n">
        <v>-5.74431061778579</v>
      </c>
      <c r="L76" s="25" t="n">
        <f aca="false">RANK(K76,K$6:K$84)</f>
        <v>76</v>
      </c>
      <c r="M76" s="12" t="n">
        <v>0.107168553212169</v>
      </c>
      <c r="N76" s="14" t="n">
        <f aca="false">IF(M76&lt;0.05,"n/a",G76/M76-1)</f>
        <v>-1</v>
      </c>
    </row>
    <row r="77" customFormat="false" ht="15" hidden="false" customHeight="false" outlineLevel="0" collapsed="false">
      <c r="A77" s="25" t="n">
        <f aca="false">ROW()-5</f>
        <v>72</v>
      </c>
      <c r="B77" s="4" t="s">
        <v>83</v>
      </c>
      <c r="C77" s="4" t="s">
        <v>241</v>
      </c>
      <c r="D77" s="12" t="n">
        <v>0</v>
      </c>
      <c r="E77" s="26" t="n">
        <v>3.53636671283838</v>
      </c>
      <c r="F77" s="10" t="n">
        <f aca="false">D77*E77</f>
        <v>0</v>
      </c>
      <c r="G77" s="10" t="n">
        <f aca="false">F77*$C$3</f>
        <v>0</v>
      </c>
      <c r="H77" s="14" t="n">
        <f aca="false">G77/SUM(G$6:G$84)</f>
        <v>0</v>
      </c>
      <c r="I77" s="14" t="n">
        <f aca="false">SUM(H$6:H77)</f>
        <v>1</v>
      </c>
      <c r="J77" s="4" t="str">
        <f aca="false">IF(I77-H77&lt;0.8,"A - top 80%",IF(I77-H77&lt;0.95,"B - next 15%","C - tail"))</f>
        <v>C - tail</v>
      </c>
      <c r="K77" s="12" t="n">
        <v>-0.00384862857859825</v>
      </c>
      <c r="L77" s="25" t="n">
        <f aca="false">RANK(K77,K$6:K$84)</f>
        <v>41</v>
      </c>
      <c r="M77" s="12" t="n">
        <v>0</v>
      </c>
      <c r="N77" s="14" t="str">
        <f aca="false">IF(M77&lt;0.05,"n/a",G77/M77-1)</f>
        <v>n/a</v>
      </c>
    </row>
    <row r="78" customFormat="false" ht="15" hidden="false" customHeight="false" outlineLevel="0" collapsed="false">
      <c r="A78" s="25" t="n">
        <f aca="false">ROW()-5</f>
        <v>73</v>
      </c>
      <c r="B78" s="4" t="s">
        <v>83</v>
      </c>
      <c r="C78" s="4" t="s">
        <v>206</v>
      </c>
      <c r="D78" s="12" t="n">
        <v>0</v>
      </c>
      <c r="E78" s="26" t="n">
        <v>3.53636671283838</v>
      </c>
      <c r="F78" s="10" t="n">
        <f aca="false">D78*E78</f>
        <v>0</v>
      </c>
      <c r="G78" s="10" t="n">
        <f aca="false">F78*$C$3</f>
        <v>0</v>
      </c>
      <c r="H78" s="14" t="n">
        <f aca="false">G78/SUM(G$6:G$84)</f>
        <v>0</v>
      </c>
      <c r="I78" s="14" t="n">
        <f aca="false">SUM(H$6:H78)</f>
        <v>1</v>
      </c>
      <c r="J78" s="4" t="str">
        <f aca="false">IF(I78-H78&lt;0.8,"A - top 80%",IF(I78-H78&lt;0.95,"B - next 15%","C - tail"))</f>
        <v>C - tail</v>
      </c>
      <c r="K78" s="12" t="n">
        <v>-0.450825545248231</v>
      </c>
      <c r="L78" s="25" t="n">
        <f aca="false">RANK(K78,K$6:K$84)</f>
        <v>60</v>
      </c>
      <c r="M78" s="12" t="n">
        <v>0</v>
      </c>
      <c r="N78" s="14" t="str">
        <f aca="false">IF(M78&lt;0.05,"n/a",G78/M78-1)</f>
        <v>n/a</v>
      </c>
    </row>
    <row r="79" customFormat="false" ht="15" hidden="false" customHeight="false" outlineLevel="0" collapsed="false">
      <c r="A79" s="25" t="n">
        <f aca="false">ROW()-5</f>
        <v>74</v>
      </c>
      <c r="B79" s="4" t="s">
        <v>83</v>
      </c>
      <c r="C79" s="4" t="s">
        <v>170</v>
      </c>
      <c r="D79" s="12" t="n">
        <v>0</v>
      </c>
      <c r="E79" s="26" t="n">
        <v>3.53636671283838</v>
      </c>
      <c r="F79" s="10" t="n">
        <f aca="false">D79*E79</f>
        <v>0</v>
      </c>
      <c r="G79" s="10" t="n">
        <f aca="false">F79*$C$3</f>
        <v>0</v>
      </c>
      <c r="H79" s="14" t="n">
        <f aca="false">G79/SUM(G$6:G$84)</f>
        <v>0</v>
      </c>
      <c r="I79" s="14" t="n">
        <f aca="false">SUM(H$6:H79)</f>
        <v>1</v>
      </c>
      <c r="J79" s="4" t="str">
        <f aca="false">IF(I79-H79&lt;0.8,"A - top 80%",IF(I79-H79&lt;0.95,"B - next 15%","C - tail"))</f>
        <v>C - tail</v>
      </c>
      <c r="K79" s="12" t="n">
        <v>-1.57952503458337E-005</v>
      </c>
      <c r="L79" s="25" t="n">
        <f aca="false">RANK(K79,K$6:K$84)</f>
        <v>38</v>
      </c>
      <c r="M79" s="12" t="n">
        <v>0</v>
      </c>
      <c r="N79" s="14" t="str">
        <f aca="false">IF(M79&lt;0.05,"n/a",G79/M79-1)</f>
        <v>n/a</v>
      </c>
    </row>
    <row r="80" customFormat="false" ht="15" hidden="false" customHeight="false" outlineLevel="0" collapsed="false">
      <c r="A80" s="25" t="n">
        <f aca="false">ROW()-5</f>
        <v>75</v>
      </c>
      <c r="B80" s="4" t="s">
        <v>83</v>
      </c>
      <c r="C80" s="4" t="s">
        <v>236</v>
      </c>
      <c r="D80" s="12" t="n">
        <v>0</v>
      </c>
      <c r="E80" s="26" t="n">
        <v>3.53636671283838</v>
      </c>
      <c r="F80" s="10" t="n">
        <f aca="false">D80*E80</f>
        <v>0</v>
      </c>
      <c r="G80" s="10" t="n">
        <f aca="false">F80*$C$3</f>
        <v>0</v>
      </c>
      <c r="H80" s="14" t="n">
        <f aca="false">G80/SUM(G$6:G$84)</f>
        <v>0</v>
      </c>
      <c r="I80" s="14" t="n">
        <f aca="false">SUM(H$6:H80)</f>
        <v>1</v>
      </c>
      <c r="J80" s="4" t="str">
        <f aca="false">IF(I80-H80&lt;0.8,"A - top 80%",IF(I80-H80&lt;0.95,"B - next 15%","C - tail"))</f>
        <v>C - tail</v>
      </c>
      <c r="K80" s="12" t="n">
        <v>0</v>
      </c>
      <c r="L80" s="25" t="n">
        <f aca="false">RANK(K80,K$6:K$84)</f>
        <v>34</v>
      </c>
      <c r="M80" s="12" t="n">
        <v>0</v>
      </c>
      <c r="N80" s="14" t="str">
        <f aca="false">IF(M80&lt;0.05,"n/a",G80/M80-1)</f>
        <v>n/a</v>
      </c>
    </row>
    <row r="81" customFormat="false" ht="15" hidden="false" customHeight="false" outlineLevel="0" collapsed="false">
      <c r="A81" s="25" t="n">
        <f aca="false">ROW()-5</f>
        <v>76</v>
      </c>
      <c r="B81" s="4" t="s">
        <v>83</v>
      </c>
      <c r="C81" s="4" t="s">
        <v>231</v>
      </c>
      <c r="D81" s="12" t="n">
        <v>0</v>
      </c>
      <c r="E81" s="26" t="n">
        <v>3.53636671283838</v>
      </c>
      <c r="F81" s="10" t="n">
        <f aca="false">D81*E81</f>
        <v>0</v>
      </c>
      <c r="G81" s="10" t="n">
        <f aca="false">F81*$C$3</f>
        <v>0</v>
      </c>
      <c r="H81" s="14" t="n">
        <f aca="false">G81/SUM(G$6:G$84)</f>
        <v>0</v>
      </c>
      <c r="I81" s="14" t="n">
        <f aca="false">SUM(H$6:H81)</f>
        <v>1</v>
      </c>
      <c r="J81" s="4" t="str">
        <f aca="false">IF(I81-H81&lt;0.8,"A - top 80%",IF(I81-H81&lt;0.95,"B - next 15%","C - tail"))</f>
        <v>C - tail</v>
      </c>
      <c r="K81" s="12" t="n">
        <v>0</v>
      </c>
      <c r="L81" s="25" t="n">
        <f aca="false">RANK(K81,K$6:K$84)</f>
        <v>34</v>
      </c>
      <c r="M81" s="12" t="n">
        <v>0</v>
      </c>
      <c r="N81" s="14" t="str">
        <f aca="false">IF(M81&lt;0.05,"n/a",G81/M81-1)</f>
        <v>n/a</v>
      </c>
    </row>
    <row r="82" customFormat="false" ht="15" hidden="false" customHeight="false" outlineLevel="0" collapsed="false">
      <c r="A82" s="25" t="n">
        <f aca="false">ROW()-5</f>
        <v>77</v>
      </c>
      <c r="B82" s="4" t="s">
        <v>83</v>
      </c>
      <c r="C82" s="4" t="s">
        <v>242</v>
      </c>
      <c r="D82" s="12" t="n">
        <v>0</v>
      </c>
      <c r="E82" s="26" t="n">
        <v>3.53636671283838</v>
      </c>
      <c r="F82" s="10" t="n">
        <f aca="false">D82*E82</f>
        <v>0</v>
      </c>
      <c r="G82" s="10" t="n">
        <f aca="false">F82*$C$3</f>
        <v>0</v>
      </c>
      <c r="H82" s="14" t="n">
        <f aca="false">G82/SUM(G$6:G$84)</f>
        <v>0</v>
      </c>
      <c r="I82" s="14" t="n">
        <f aca="false">SUM(H$6:H82)</f>
        <v>1</v>
      </c>
      <c r="J82" s="4" t="str">
        <f aca="false">IF(I82-H82&lt;0.8,"A - top 80%",IF(I82-H82&lt;0.95,"B - next 15%","C - tail"))</f>
        <v>C - tail</v>
      </c>
      <c r="K82" s="12" t="n">
        <v>-0.294561292099304</v>
      </c>
      <c r="L82" s="25" t="n">
        <f aca="false">RANK(K82,K$6:K$84)</f>
        <v>58</v>
      </c>
      <c r="M82" s="12" t="n">
        <v>0</v>
      </c>
      <c r="N82" s="14" t="str">
        <f aca="false">IF(M82&lt;0.05,"n/a",G82/M82-1)</f>
        <v>n/a</v>
      </c>
    </row>
    <row r="83" customFormat="false" ht="15" hidden="false" customHeight="false" outlineLevel="0" collapsed="false">
      <c r="A83" s="25" t="n">
        <f aca="false">ROW()-5</f>
        <v>78</v>
      </c>
      <c r="B83" s="4" t="s">
        <v>83</v>
      </c>
      <c r="C83" s="4" t="s">
        <v>243</v>
      </c>
      <c r="D83" s="12" t="n">
        <v>0</v>
      </c>
      <c r="E83" s="26" t="n">
        <v>3.53636671283838</v>
      </c>
      <c r="F83" s="10" t="n">
        <f aca="false">D83*E83</f>
        <v>0</v>
      </c>
      <c r="G83" s="10" t="n">
        <f aca="false">F83*$C$3</f>
        <v>0</v>
      </c>
      <c r="H83" s="14" t="n">
        <f aca="false">G83/SUM(G$6:G$84)</f>
        <v>0</v>
      </c>
      <c r="I83" s="14" t="n">
        <f aca="false">SUM(H$6:H83)</f>
        <v>1</v>
      </c>
      <c r="J83" s="4" t="str">
        <f aca="false">IF(I83-H83&lt;0.8,"A - top 80%",IF(I83-H83&lt;0.95,"B - next 15%","C - tail"))</f>
        <v>C - tail</v>
      </c>
      <c r="K83" s="12" t="n">
        <v>0</v>
      </c>
      <c r="L83" s="25" t="n">
        <f aca="false">RANK(K83,K$6:K$84)</f>
        <v>34</v>
      </c>
      <c r="M83" s="12" t="n">
        <v>0</v>
      </c>
      <c r="N83" s="14" t="str">
        <f aca="false">IF(M83&lt;0.05,"n/a",G83/M83-1)</f>
        <v>n/a</v>
      </c>
    </row>
    <row r="84" customFormat="false" ht="15" hidden="false" customHeight="false" outlineLevel="0" collapsed="false">
      <c r="A84" s="25" t="n">
        <f aca="false">ROW()-5</f>
        <v>79</v>
      </c>
      <c r="B84" s="4" t="s">
        <v>83</v>
      </c>
      <c r="C84" s="4" t="s">
        <v>207</v>
      </c>
      <c r="D84" s="12" t="n">
        <v>0</v>
      </c>
      <c r="E84" s="26" t="n">
        <v>3.53636671283838</v>
      </c>
      <c r="F84" s="10" t="n">
        <f aca="false">D84*E84</f>
        <v>0</v>
      </c>
      <c r="G84" s="10" t="n">
        <f aca="false">F84*$C$3</f>
        <v>0</v>
      </c>
      <c r="H84" s="14" t="n">
        <f aca="false">G84/SUM(G$6:G$84)</f>
        <v>0</v>
      </c>
      <c r="I84" s="14" t="n">
        <f aca="false">SUM(H$6:H84)</f>
        <v>1</v>
      </c>
      <c r="J84" s="4" t="str">
        <f aca="false">IF(I84-H84&lt;0.8,"A - top 80%",IF(I84-H84&lt;0.95,"B - next 15%","C - tail"))</f>
        <v>C - tail</v>
      </c>
      <c r="K84" s="12" t="n">
        <v>-1.39049563277004</v>
      </c>
      <c r="L84" s="25" t="n">
        <f aca="false">RANK(K84,K$6:K$84)</f>
        <v>65</v>
      </c>
      <c r="M84" s="12" t="n">
        <v>0</v>
      </c>
      <c r="N84" s="14" t="str">
        <f aca="false">IF(M84&lt;0.05,"n/a",G84/M84-1)</f>
        <v>n/a</v>
      </c>
    </row>
    <row r="85" customFormat="false" ht="15" hidden="false" customHeight="false" outlineLevel="0" collapsed="false">
      <c r="C85" s="7" t="s">
        <v>84</v>
      </c>
      <c r="G85" s="13" t="n">
        <f aca="false">SUM(G6:G84)</f>
        <v>1156.85886866429</v>
      </c>
      <c r="H85" s="19" t="n">
        <f aca="false">SUM(H6:H84)</f>
        <v>1</v>
      </c>
      <c r="K85" s="13" t="n">
        <f aca="false">SUM(K6:K84)</f>
        <v>149.014563601018</v>
      </c>
      <c r="M85" s="13" t="n">
        <f aca="false">SUM(M6:M84)</f>
        <v>1119.54742921102</v>
      </c>
    </row>
    <row r="87" customFormat="false" ht="15" hidden="false" customHeight="false" outlineLevel="0" collapsed="false">
      <c r="C87" s="7" t="s">
        <v>244</v>
      </c>
      <c r="G87" s="27" t="n">
        <f aca="false">COUNTIF(J6:J84,"A*")</f>
        <v>11</v>
      </c>
    </row>
    <row r="88" customFormat="false" ht="15" hidden="false" customHeight="false" outlineLevel="0" collapsed="false">
      <c r="C88" s="7" t="s">
        <v>245</v>
      </c>
      <c r="G88" s="20" t="n">
        <f aca="false">G87/COUNTA(C6:C84)</f>
        <v>0.139240506329114</v>
      </c>
    </row>
    <row r="89" customFormat="false" ht="15" hidden="false" customHeight="false" outlineLevel="0" collapsed="false">
      <c r="C89" s="7" t="s">
        <v>246</v>
      </c>
      <c r="G89" s="20" t="n">
        <f aca="false">SUMIF(J6:J84,"A*",G6:G84)/G85</f>
        <v>0.803704502402471</v>
      </c>
    </row>
    <row r="92" customFormat="false" ht="15" hidden="false" customHeight="false" outlineLevel="0" collapsed="false">
      <c r="A92" s="7" t="s">
        <v>247</v>
      </c>
    </row>
    <row r="93" customFormat="false" ht="23.85" hidden="false" customHeight="false" outlineLevel="0" collapsed="false">
      <c r="A93" s="3" t="s">
        <v>211</v>
      </c>
      <c r="B93" s="3" t="s">
        <v>212</v>
      </c>
      <c r="C93" s="3" t="s">
        <v>142</v>
      </c>
      <c r="D93" s="3" t="s">
        <v>248</v>
      </c>
      <c r="E93" s="3" t="s">
        <v>249</v>
      </c>
    </row>
    <row r="94" customFormat="false" ht="15" hidden="false" customHeight="false" outlineLevel="0" collapsed="false">
      <c r="A94" s="4" t="n">
        <v>1</v>
      </c>
      <c r="B94" s="4" t="s">
        <v>78</v>
      </c>
      <c r="C94" s="4" t="s">
        <v>151</v>
      </c>
      <c r="D94" s="10" t="n">
        <f aca="false">K6</f>
        <v>35.0476433079369</v>
      </c>
      <c r="E94" s="14" t="n">
        <f aca="false">D94/YTD_SOG!$D$11</f>
        <v>0.235196093999081</v>
      </c>
    </row>
    <row r="95" customFormat="false" ht="15" hidden="false" customHeight="false" outlineLevel="0" collapsed="false">
      <c r="A95" s="4" t="n">
        <v>2</v>
      </c>
      <c r="B95" s="4" t="s">
        <v>78</v>
      </c>
      <c r="C95" s="4" t="s">
        <v>152</v>
      </c>
      <c r="D95" s="10" t="n">
        <f aca="false">K7</f>
        <v>30.9433987725949</v>
      </c>
      <c r="E95" s="14" t="n">
        <f aca="false">D95/YTD_SOG!$D$11</f>
        <v>0.207653520735363</v>
      </c>
    </row>
    <row r="96" customFormat="false" ht="15" hidden="false" customHeight="false" outlineLevel="0" collapsed="false">
      <c r="A96" s="4" t="n">
        <v>3</v>
      </c>
      <c r="B96" s="4" t="s">
        <v>78</v>
      </c>
      <c r="C96" s="4" t="s">
        <v>154</v>
      </c>
      <c r="D96" s="10" t="n">
        <f aca="false">K9</f>
        <v>27.0004750273279</v>
      </c>
      <c r="E96" s="14" t="n">
        <f aca="false">D96/YTD_SOG!$D$11</f>
        <v>0.181193531523677</v>
      </c>
    </row>
    <row r="97" customFormat="false" ht="15" hidden="false" customHeight="false" outlineLevel="0" collapsed="false">
      <c r="A97" s="4" t="n">
        <v>4</v>
      </c>
      <c r="B97" s="4" t="s">
        <v>78</v>
      </c>
      <c r="C97" s="4" t="s">
        <v>153</v>
      </c>
      <c r="D97" s="10" t="n">
        <f aca="false">K8</f>
        <v>14.8836743823361</v>
      </c>
      <c r="E97" s="14" t="n">
        <f aca="false">D97/YTD_SOG!$D$11</f>
        <v>0.0998806695309783</v>
      </c>
    </row>
    <row r="98" customFormat="false" ht="15" hidden="false" customHeight="false" outlineLevel="0" collapsed="false">
      <c r="A98" s="4" t="n">
        <v>5</v>
      </c>
      <c r="B98" s="4" t="s">
        <v>78</v>
      </c>
      <c r="C98" s="4" t="s">
        <v>165</v>
      </c>
      <c r="D98" s="10" t="n">
        <f aca="false">K21</f>
        <v>13.6541133844714</v>
      </c>
      <c r="E98" s="14" t="n">
        <f aca="false">D98/YTD_SOG!$D$11</f>
        <v>0.0916293887960503</v>
      </c>
    </row>
    <row r="99" customFormat="false" ht="15" hidden="false" customHeight="false" outlineLevel="0" collapsed="false">
      <c r="A99" s="4" t="n">
        <v>6</v>
      </c>
      <c r="B99" s="4" t="s">
        <v>78</v>
      </c>
      <c r="C99" s="4" t="s">
        <v>159</v>
      </c>
      <c r="D99" s="10" t="n">
        <f aca="false">K14</f>
        <v>12.6618018709023</v>
      </c>
      <c r="E99" s="14" t="n">
        <f aca="false">D99/YTD_SOG!$D$11</f>
        <v>0.0849702308614879</v>
      </c>
    </row>
    <row r="100" customFormat="false" ht="15" hidden="false" customHeight="false" outlineLevel="0" collapsed="false">
      <c r="A100" s="4" t="n">
        <v>7</v>
      </c>
      <c r="B100" s="4" t="s">
        <v>78</v>
      </c>
      <c r="C100" s="4" t="s">
        <v>155</v>
      </c>
      <c r="D100" s="10" t="n">
        <f aca="false">K10</f>
        <v>12.2569363420842</v>
      </c>
      <c r="E100" s="14" t="n">
        <f aca="false">D100/YTD_SOG!$D$11</f>
        <v>0.0822532781084531</v>
      </c>
    </row>
    <row r="101" customFormat="false" ht="15" hidden="false" customHeight="false" outlineLevel="0" collapsed="false">
      <c r="A101" s="4" t="n">
        <v>8</v>
      </c>
      <c r="B101" s="4" t="s">
        <v>83</v>
      </c>
      <c r="C101" s="4" t="s">
        <v>164</v>
      </c>
      <c r="D101" s="10" t="n">
        <f aca="false">K37</f>
        <v>9.73195916362333</v>
      </c>
      <c r="E101" s="14" t="n">
        <f aca="false">D101/YTD_SOG!$D$11</f>
        <v>0.0653087787424618</v>
      </c>
    </row>
    <row r="102" customFormat="false" ht="15" hidden="false" customHeight="false" outlineLevel="0" collapsed="false">
      <c r="A102" s="4" t="n">
        <v>9</v>
      </c>
      <c r="B102" s="4" t="s">
        <v>78</v>
      </c>
      <c r="C102" s="4" t="s">
        <v>162</v>
      </c>
      <c r="D102" s="10" t="n">
        <f aca="false">K18</f>
        <v>8.09890460799825</v>
      </c>
      <c r="E102" s="14" t="n">
        <f aca="false">D102/YTD_SOG!$D$11</f>
        <v>0.0543497522140378</v>
      </c>
    </row>
    <row r="103" customFormat="false" ht="15" hidden="false" customHeight="false" outlineLevel="0" collapsed="false">
      <c r="A103" s="4" t="n">
        <v>10</v>
      </c>
      <c r="B103" s="4" t="s">
        <v>78</v>
      </c>
      <c r="C103" s="4" t="s">
        <v>164</v>
      </c>
      <c r="D103" s="10" t="n">
        <f aca="false">K22</f>
        <v>7.55984389956038</v>
      </c>
      <c r="E103" s="14" t="n">
        <f aca="false">D103/YTD_SOG!$D$11</f>
        <v>0.0507322486935014</v>
      </c>
    </row>
    <row r="104" customFormat="false" ht="15" hidden="false" customHeight="false" outlineLevel="0" collapsed="false">
      <c r="A104" s="4" t="n">
        <v>11</v>
      </c>
      <c r="B104" s="4" t="s">
        <v>78</v>
      </c>
      <c r="C104" s="4" t="s">
        <v>160</v>
      </c>
      <c r="D104" s="10" t="n">
        <f aca="false">K16</f>
        <v>6.90096466993353</v>
      </c>
      <c r="E104" s="14" t="n">
        <f aca="false">D104/YTD_SOG!$D$11</f>
        <v>0.0463106726159377</v>
      </c>
    </row>
    <row r="105" customFormat="false" ht="15" hidden="false" customHeight="false" outlineLevel="0" collapsed="false">
      <c r="A105" s="4" t="n">
        <v>12</v>
      </c>
      <c r="B105" s="4" t="s">
        <v>83</v>
      </c>
      <c r="C105" s="4" t="s">
        <v>188</v>
      </c>
      <c r="D105" s="10" t="n">
        <f aca="false">K33</f>
        <v>6.47246213391901</v>
      </c>
      <c r="E105" s="14" t="n">
        <f aca="false">D105/YTD_SOG!$D$11</f>
        <v>0.0434350977348018</v>
      </c>
    </row>
    <row r="106" customFormat="false" ht="15" hidden="false" customHeight="false" outlineLevel="0" collapsed="false">
      <c r="A106" s="4" t="s">
        <v>250</v>
      </c>
      <c r="B106" s="4" t="s">
        <v>83</v>
      </c>
      <c r="C106" s="4" t="s">
        <v>179</v>
      </c>
      <c r="D106" s="10" t="n">
        <f aca="false">K20</f>
        <v>-7.51314454203493</v>
      </c>
      <c r="E106" s="14" t="n">
        <f aca="false">D106/YTD_SOG!$D$11</f>
        <v>-0.0504188608178674</v>
      </c>
    </row>
    <row r="107" customFormat="false" ht="15" hidden="false" customHeight="false" outlineLevel="0" collapsed="false">
      <c r="A107" s="4" t="s">
        <v>251</v>
      </c>
      <c r="B107" s="4" t="s">
        <v>78</v>
      </c>
      <c r="C107" s="4" t="s">
        <v>158</v>
      </c>
      <c r="D107" s="10" t="n">
        <f aca="false">K13</f>
        <v>-7.31858660763982</v>
      </c>
      <c r="E107" s="14" t="n">
        <f aca="false">D107/YTD_SOG!$D$11</f>
        <v>-0.0491132304842039</v>
      </c>
    </row>
    <row r="108" customFormat="false" ht="15" hidden="false" customHeight="false" outlineLevel="0" collapsed="false">
      <c r="A108" s="4" t="s">
        <v>252</v>
      </c>
      <c r="B108" s="4" t="s">
        <v>83</v>
      </c>
      <c r="C108" s="4" t="s">
        <v>203</v>
      </c>
      <c r="D108" s="10" t="n">
        <f aca="false">K63</f>
        <v>-6.01591260742843</v>
      </c>
      <c r="E108" s="14" t="n">
        <f aca="false">D108/YTD_SOG!$D$11</f>
        <v>-0.0403713064149615</v>
      </c>
    </row>
    <row r="109" customFormat="false" ht="15" hidden="false" customHeight="false" outlineLevel="0" collapsed="false">
      <c r="A109" s="4" t="s">
        <v>253</v>
      </c>
      <c r="B109" s="4" t="s">
        <v>83</v>
      </c>
      <c r="C109" s="4" t="s">
        <v>205</v>
      </c>
      <c r="D109" s="10" t="n">
        <f aca="false">K76</f>
        <v>-5.74431061778579</v>
      </c>
      <c r="E109" s="14" t="n">
        <f aca="false">D109/YTD_SOG!$D$11</f>
        <v>-0.0385486524200819</v>
      </c>
    </row>
    <row r="110" customFormat="false" ht="15" hidden="false" customHeight="false" outlineLevel="0" collapsed="false">
      <c r="A110" s="4" t="s">
        <v>254</v>
      </c>
      <c r="B110" s="4" t="s">
        <v>78</v>
      </c>
      <c r="C110" s="4" t="s">
        <v>156</v>
      </c>
      <c r="D110" s="10" t="n">
        <f aca="false">K11</f>
        <v>-5.63763917531437</v>
      </c>
      <c r="E110" s="14" t="n">
        <f aca="false">D110/YTD_SOG!$D$11</f>
        <v>-0.0378328066671994</v>
      </c>
    </row>
    <row r="111" customFormat="false" ht="15" hidden="false" customHeight="false" outlineLevel="0" collapsed="false">
      <c r="A111" s="4" t="s">
        <v>255</v>
      </c>
      <c r="B111" s="4" t="s">
        <v>83</v>
      </c>
      <c r="C111" s="4" t="s">
        <v>180</v>
      </c>
      <c r="D111" s="10" t="n">
        <f aca="false">K24</f>
        <v>-4.85481512567185</v>
      </c>
      <c r="E111" s="14" t="n">
        <f aca="false">D111/YTD_SOG!$D$11</f>
        <v>-0.0325794674584324</v>
      </c>
    </row>
    <row r="112" customFormat="false" ht="15" hidden="false" customHeight="false" outlineLevel="0" collapsed="false">
      <c r="A112" s="4" t="s">
        <v>256</v>
      </c>
      <c r="B112" s="4" t="s">
        <v>83</v>
      </c>
      <c r="C112" s="4" t="s">
        <v>204</v>
      </c>
      <c r="D112" s="10" t="n">
        <f aca="false">K68</f>
        <v>-4.81460854077375</v>
      </c>
      <c r="E112" s="14" t="n">
        <f aca="false">D112/YTD_SOG!$D$11</f>
        <v>-0.0323096509792476</v>
      </c>
    </row>
    <row r="113" customFormat="false" ht="15" hidden="false" customHeight="false" outlineLevel="0" collapsed="false">
      <c r="A113" s="4" t="s">
        <v>257</v>
      </c>
      <c r="B113" s="4" t="s">
        <v>83</v>
      </c>
      <c r="C113" s="4" t="s">
        <v>224</v>
      </c>
      <c r="D113" s="10" t="n">
        <f aca="false">K26</f>
        <v>-4.4938065571484</v>
      </c>
      <c r="E113" s="14" t="n">
        <f aca="false">D113/YTD_SOG!$D$11</f>
        <v>-0.0301568279539473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44"/>
    <col collapsed="false" customWidth="true" hidden="false" outlineLevel="0" max="4" min="4" style="0" width="15"/>
    <col collapsed="false" customWidth="true" hidden="false" outlineLevel="0" max="5" min="5" style="0" width="24"/>
    <col collapsed="false" customWidth="true" hidden="false" outlineLevel="0" max="6" min="6" style="0" width="16"/>
    <col collapsed="false" customWidth="true" hidden="false" outlineLevel="0" max="7" min="7" style="0" width="12"/>
    <col collapsed="false" customWidth="true" hidden="false" outlineLevel="0" max="9" min="8" style="0" width="14"/>
    <col collapsed="false" customWidth="true" hidden="false" outlineLevel="0" max="10" min="10" style="0" width="11"/>
    <col collapsed="false" customWidth="true" hidden="false" outlineLevel="0" max="11" min="11" style="0" width="12"/>
    <col collapsed="false" customWidth="true" hidden="false" outlineLevel="0" max="12" min="12" style="0" width="14"/>
    <col collapsed="false" customWidth="true" hidden="false" outlineLevel="0" max="14" min="13" style="0" width="17"/>
    <col collapsed="false" customWidth="true" hidden="false" outlineLevel="0" max="15" min="15" style="0" width="14"/>
    <col collapsed="false" customWidth="true" hidden="false" outlineLevel="0" max="16" min="16" style="0" width="10"/>
    <col collapsed="false" customWidth="true" hidden="false" outlineLevel="0" max="17" min="17" style="0" width="13"/>
    <col collapsed="false" customWidth="true" hidden="false" outlineLevel="0" max="18" min="18" style="0" width="12"/>
  </cols>
  <sheetData>
    <row r="1" customFormat="false" ht="15" hidden="false" customHeight="false" outlineLevel="0" collapsed="false">
      <c r="A1" s="1" t="s">
        <v>258</v>
      </c>
    </row>
    <row r="2" customFormat="false" ht="15" hidden="false" customHeight="false" outlineLevel="0" collapsed="false">
      <c r="A2" s="2" t="s">
        <v>259</v>
      </c>
    </row>
    <row r="3" customFormat="false" ht="15" hidden="false" customHeight="false" outlineLevel="0" collapsed="false">
      <c r="A3" s="2" t="s">
        <v>260</v>
      </c>
    </row>
    <row r="5" customFormat="false" ht="54" hidden="false" customHeight="true" outlineLevel="0" collapsed="false">
      <c r="A5" s="3" t="s">
        <v>211</v>
      </c>
      <c r="B5" s="3" t="s">
        <v>261</v>
      </c>
      <c r="C5" s="3" t="s">
        <v>262</v>
      </c>
      <c r="D5" s="3" t="s">
        <v>212</v>
      </c>
      <c r="E5" s="3" t="s">
        <v>142</v>
      </c>
      <c r="F5" s="3" t="s">
        <v>263</v>
      </c>
      <c r="G5" s="3" t="s">
        <v>264</v>
      </c>
      <c r="H5" s="3" t="s">
        <v>265</v>
      </c>
      <c r="I5" s="3" t="s">
        <v>266</v>
      </c>
      <c r="J5" s="3" t="s">
        <v>216</v>
      </c>
      <c r="K5" s="3" t="s">
        <v>217</v>
      </c>
      <c r="L5" s="3" t="s">
        <v>218</v>
      </c>
      <c r="M5" s="3" t="s">
        <v>267</v>
      </c>
      <c r="N5" s="3" t="s">
        <v>268</v>
      </c>
      <c r="O5" s="3" t="s">
        <v>269</v>
      </c>
      <c r="P5" s="3" t="s">
        <v>119</v>
      </c>
      <c r="Q5" s="3" t="s">
        <v>270</v>
      </c>
      <c r="R5" s="3" t="s">
        <v>271</v>
      </c>
    </row>
    <row r="6" customFormat="false" ht="15" hidden="false" customHeight="false" outlineLevel="0" collapsed="false">
      <c r="A6" s="25" t="n">
        <f aca="false">ROW()-5</f>
        <v>1</v>
      </c>
      <c r="B6" s="4" t="s">
        <v>272</v>
      </c>
      <c r="C6" s="4" t="s">
        <v>273</v>
      </c>
      <c r="D6" s="4" t="s">
        <v>78</v>
      </c>
      <c r="E6" s="4" t="s">
        <v>151</v>
      </c>
      <c r="F6" s="16" t="n">
        <v>20687440.0357143</v>
      </c>
      <c r="G6" s="14" t="n">
        <f aca="false">IF(SUMIFS(F$6:F$473,D$6:D$473,D6,E$6:E$473,E6)=0,0,F6/SUMIFS(F$6:F$473,D$6:D$473,D6,E$6:E$473,E6))</f>
        <v>0.360846375697859</v>
      </c>
      <c r="H6" s="5" t="n">
        <f aca="false">SUMIFS(Pareto_Categories!$G$6:$G$84,Pareto_Categories!$B$6:$B$84,D6,Pareto_Categories!$C$6:$C$84,E6)</f>
        <v>192.620734264564</v>
      </c>
      <c r="I6" s="28" t="n">
        <f aca="false">G6*H6</f>
        <v>69.5064938436281</v>
      </c>
      <c r="J6" s="29" t="n">
        <f aca="false">I6/$I$475</f>
        <v>0.0600820606263346</v>
      </c>
      <c r="K6" s="14" t="n">
        <f aca="false">SUM(J$6:J6)</f>
        <v>0.0600820606263346</v>
      </c>
      <c r="L6" s="4" t="str">
        <f aca="false">IF(I6&lt;=0,"-",IF(K6-J6&lt;0.8,"A - top 80%",IF(K6-J6&lt;0.95,"B - next 15%","C - tail")))</f>
        <v>A - top 80%</v>
      </c>
      <c r="M6" s="16" t="n">
        <v>38097259.3214286</v>
      </c>
      <c r="N6" s="16" t="n">
        <v>41717503.4285714</v>
      </c>
      <c r="O6" s="17" t="n">
        <f aca="false">N6-M6</f>
        <v>3620244.10714287</v>
      </c>
      <c r="P6" s="14" t="n">
        <f aca="false">IF(M6&lt;1000,"new",R6)</f>
        <v>0.0950263659807829</v>
      </c>
      <c r="Q6" s="4" t="str">
        <f aca="false">IF(LEFT(L6,1)="A",IF(R6&lt;-0.05,"2 FIX","1 PROTECT"),IF(AND(N6&gt;=300000,OR(P6="new",R6&gt;=0.25),LEFT(L6,1)&lt;&gt;"-"),"3 SCALE","4 MAINTAIN"))</f>
        <v>1 PROTECT</v>
      </c>
      <c r="R6" s="14" t="n">
        <f aca="false">IF(M6&lt;1000,0,N6/M6-1)</f>
        <v>0.0950263659807829</v>
      </c>
    </row>
    <row r="7" customFormat="false" ht="15" hidden="false" customHeight="false" outlineLevel="0" collapsed="false">
      <c r="A7" s="25" t="n">
        <f aca="false">ROW()-5</f>
        <v>2</v>
      </c>
      <c r="B7" s="4" t="s">
        <v>274</v>
      </c>
      <c r="C7" s="4" t="s">
        <v>275</v>
      </c>
      <c r="D7" s="4" t="s">
        <v>78</v>
      </c>
      <c r="E7" s="4" t="s">
        <v>155</v>
      </c>
      <c r="F7" s="16" t="n">
        <v>13855322.3214286</v>
      </c>
      <c r="G7" s="14" t="n">
        <f aca="false">IF(SUMIFS(F$6:F$473,D$6:D$473,D7,E$6:E$473,E7)=0,0,F7/SUMIFS(F$6:F$473,D$6:D$473,D7,E$6:E$473,E7))</f>
        <v>0.528057738379762</v>
      </c>
      <c r="H7" s="5" t="n">
        <f aca="false">SUMIFS(Pareto_Categories!$G$6:$G$84,Pareto_Categories!$B$6:$B$84,D7,Pareto_Categories!$C$6:$C$84,E7)</f>
        <v>80.8950655838976</v>
      </c>
      <c r="I7" s="28" t="n">
        <f aca="false">G7*H7</f>
        <v>42.7172653783155</v>
      </c>
      <c r="J7" s="29" t="n">
        <f aca="false">I7/$I$475</f>
        <v>0.0369252020397582</v>
      </c>
      <c r="K7" s="14" t="n">
        <f aca="false">SUM(J$6:J7)</f>
        <v>0.0970072626660928</v>
      </c>
      <c r="L7" s="4" t="str">
        <f aca="false">IF(I7&lt;=0,"-",IF(K7-J7&lt;0.8,"A - top 80%",IF(K7-J7&lt;0.95,"B - next 15%","C - tail")))</f>
        <v>A - top 80%</v>
      </c>
      <c r="M7" s="16" t="n">
        <v>27076341.9642857</v>
      </c>
      <c r="N7" s="16" t="n">
        <v>28301544.6428571</v>
      </c>
      <c r="O7" s="17" t="n">
        <f aca="false">N7-M7</f>
        <v>1225202.67857143</v>
      </c>
      <c r="P7" s="14" t="n">
        <f aca="false">IF(M7&lt;1000,"new",R7)</f>
        <v>0.0452499336944223</v>
      </c>
      <c r="Q7" s="4" t="str">
        <f aca="false">IF(LEFT(L7,1)="A",IF(R7&lt;-0.05,"2 FIX","1 PROTECT"),IF(AND(N7&gt;=300000,OR(P7="new",R7&gt;=0.25),LEFT(L7,1)&lt;&gt;"-"),"3 SCALE","4 MAINTAIN"))</f>
        <v>1 PROTECT</v>
      </c>
      <c r="R7" s="14" t="n">
        <f aca="false">IF(M7&lt;1000,0,N7/M7-1)</f>
        <v>0.0452499336944223</v>
      </c>
    </row>
    <row r="8" customFormat="false" ht="15" hidden="false" customHeight="false" outlineLevel="0" collapsed="false">
      <c r="A8" s="25" t="n">
        <f aca="false">ROW()-5</f>
        <v>3</v>
      </c>
      <c r="B8" s="4" t="s">
        <v>276</v>
      </c>
      <c r="C8" s="4" t="s">
        <v>277</v>
      </c>
      <c r="D8" s="4" t="s">
        <v>78</v>
      </c>
      <c r="E8" s="4" t="s">
        <v>151</v>
      </c>
      <c r="F8" s="16" t="n">
        <v>10469154.5267857</v>
      </c>
      <c r="G8" s="14" t="n">
        <f aca="false">IF(SUMIFS(F$6:F$473,D$6:D$473,D8,E$6:E$473,E8)=0,0,F8/SUMIFS(F$6:F$473,D$6:D$473,D8,E$6:E$473,E8))</f>
        <v>0.182611113849255</v>
      </c>
      <c r="H8" s="5" t="n">
        <f aca="false">SUMIFS(Pareto_Categories!$G$6:$G$84,Pareto_Categories!$B$6:$B$84,D8,Pareto_Categories!$C$6:$C$84,E8)</f>
        <v>192.620734264564</v>
      </c>
      <c r="I8" s="28" t="n">
        <f aca="false">G8*H8</f>
        <v>35.1746868345133</v>
      </c>
      <c r="J8" s="29" t="n">
        <f aca="false">I8/$I$475</f>
        <v>0.0304053268987801</v>
      </c>
      <c r="K8" s="14" t="n">
        <f aca="false">SUM(J$6:J8)</f>
        <v>0.127412589564873</v>
      </c>
      <c r="L8" s="4" t="str">
        <f aca="false">IF(I8&lt;=0,"-",IF(K8-J8&lt;0.8,"A - top 80%",IF(K8-J8&lt;0.95,"B - next 15%","C - tail")))</f>
        <v>A - top 80%</v>
      </c>
      <c r="M8" s="16" t="n">
        <v>23052840.6696429</v>
      </c>
      <c r="N8" s="16" t="n">
        <v>21836444.7053571</v>
      </c>
      <c r="O8" s="17" t="n">
        <f aca="false">N8-M8</f>
        <v>-1216395.96428571</v>
      </c>
      <c r="P8" s="14" t="n">
        <f aca="false">IF(M8&lt;1000,"new",R8)</f>
        <v>-0.0527655563892184</v>
      </c>
      <c r="Q8" s="4" t="str">
        <f aca="false">IF(LEFT(L8,1)="A",IF(R8&lt;-0.05,"2 FIX","1 PROTECT"),IF(AND(N8&gt;=300000,OR(P8="new",R8&gt;=0.25),LEFT(L8,1)&lt;&gt;"-"),"3 SCALE","4 MAINTAIN"))</f>
        <v>2 FIX</v>
      </c>
      <c r="R8" s="14" t="n">
        <f aca="false">IF(M8&lt;1000,0,N8/M8-1)</f>
        <v>-0.0527655563892184</v>
      </c>
    </row>
    <row r="9" customFormat="false" ht="15" hidden="false" customHeight="false" outlineLevel="0" collapsed="false">
      <c r="A9" s="25" t="n">
        <f aca="false">ROW()-5</f>
        <v>4</v>
      </c>
      <c r="B9" s="4" t="s">
        <v>278</v>
      </c>
      <c r="C9" s="4" t="s">
        <v>279</v>
      </c>
      <c r="D9" s="4" t="s">
        <v>78</v>
      </c>
      <c r="E9" s="4" t="s">
        <v>151</v>
      </c>
      <c r="F9" s="16" t="n">
        <v>10033652.875</v>
      </c>
      <c r="G9" s="14" t="n">
        <f aca="false">IF(SUMIFS(F$6:F$473,D$6:D$473,D9,E$6:E$473,E9)=0,0,F9/SUMIFS(F$6:F$473,D$6:D$473,D9,E$6:E$473,E9))</f>
        <v>0.175014756233909</v>
      </c>
      <c r="H9" s="5" t="n">
        <f aca="false">SUMIFS(Pareto_Categories!$G$6:$G$84,Pareto_Categories!$B$6:$B$84,D9,Pareto_Categories!$C$6:$C$84,E9)</f>
        <v>192.620734264564</v>
      </c>
      <c r="I9" s="28" t="n">
        <f aca="false">G9*H9</f>
        <v>33.7114708529092</v>
      </c>
      <c r="J9" s="29" t="n">
        <f aca="false">I9/$I$475</f>
        <v>0.0291405093766369</v>
      </c>
      <c r="K9" s="14" t="n">
        <f aca="false">SUM(J$6:J9)</f>
        <v>0.15655309894151</v>
      </c>
      <c r="L9" s="4" t="str">
        <f aca="false">IF(I9&lt;=0,"-",IF(K9-J9&lt;0.8,"A - top 80%",IF(K9-J9&lt;0.95,"B - next 15%","C - tail")))</f>
        <v>A - top 80%</v>
      </c>
      <c r="M9" s="16" t="n">
        <v>18534804.5892857</v>
      </c>
      <c r="N9" s="16" t="n">
        <v>20830875.4642857</v>
      </c>
      <c r="O9" s="17" t="n">
        <f aca="false">N9-M9</f>
        <v>2296070.875</v>
      </c>
      <c r="P9" s="14" t="n">
        <f aca="false">IF(M9&lt;1000,"new",R9)</f>
        <v>0.123878882236896</v>
      </c>
      <c r="Q9" s="4" t="str">
        <f aca="false">IF(LEFT(L9,1)="A",IF(R9&lt;-0.05,"2 FIX","1 PROTECT"),IF(AND(N9&gt;=300000,OR(P9="new",R9&gt;=0.25),LEFT(L9,1)&lt;&gt;"-"),"3 SCALE","4 MAINTAIN"))</f>
        <v>1 PROTECT</v>
      </c>
      <c r="R9" s="14" t="n">
        <f aca="false">IF(M9&lt;1000,0,N9/M9-1)</f>
        <v>0.123878882236896</v>
      </c>
    </row>
    <row r="10" customFormat="false" ht="15" hidden="false" customHeight="false" outlineLevel="0" collapsed="false">
      <c r="A10" s="25" t="n">
        <f aca="false">ROW()-5</f>
        <v>5</v>
      </c>
      <c r="B10" s="4" t="s">
        <v>280</v>
      </c>
      <c r="C10" s="4" t="s">
        <v>281</v>
      </c>
      <c r="D10" s="4" t="s">
        <v>83</v>
      </c>
      <c r="E10" s="4" t="s">
        <v>155</v>
      </c>
      <c r="F10" s="16" t="n">
        <v>1000682.14285714</v>
      </c>
      <c r="G10" s="14" t="n">
        <f aca="false">IF(SUMIFS(F$6:F$473,D$6:D$473,D10,E$6:E$473,E10)=0,0,F10/SUMIFS(F$6:F$473,D$6:D$473,D10,E$6:E$473,E10))</f>
        <v>0.988882653763486</v>
      </c>
      <c r="H10" s="5" t="n">
        <f aca="false">SUMIFS(Pareto_Categories!$G$6:$G$84,Pareto_Categories!$B$6:$B$84,D10,Pareto_Categories!$C$6:$C$84,E10)</f>
        <v>28.2324451064745</v>
      </c>
      <c r="I10" s="28" t="n">
        <f aca="false">G10*H10</f>
        <v>27.9185752391224</v>
      </c>
      <c r="J10" s="29" t="n">
        <f aca="false">I10/$I$475</f>
        <v>0.0241330764560154</v>
      </c>
      <c r="K10" s="14" t="n">
        <f aca="false">SUM(J$6:J10)</f>
        <v>0.180686175397525</v>
      </c>
      <c r="L10" s="4" t="str">
        <f aca="false">IF(I10&lt;=0,"-",IF(K10-J10&lt;0.8,"A - top 80%",IF(K10-J10&lt;0.95,"B - next 15%","C - tail")))</f>
        <v>A - top 80%</v>
      </c>
      <c r="M10" s="16" t="n">
        <v>2328171.42857143</v>
      </c>
      <c r="N10" s="16" t="n">
        <v>2097289.28571429</v>
      </c>
      <c r="O10" s="17" t="n">
        <f aca="false">N10-M10</f>
        <v>-230882.142857143</v>
      </c>
      <c r="P10" s="14" t="n">
        <f aca="false">IF(M10&lt;1000,"new",R10)</f>
        <v>-0.0991688756350786</v>
      </c>
      <c r="Q10" s="4" t="str">
        <f aca="false">IF(LEFT(L10,1)="A",IF(R10&lt;-0.05,"2 FIX","1 PROTECT"),IF(AND(N10&gt;=300000,OR(P10="new",R10&gt;=0.25),LEFT(L10,1)&lt;&gt;"-"),"3 SCALE","4 MAINTAIN"))</f>
        <v>2 FIX</v>
      </c>
      <c r="R10" s="14" t="n">
        <f aca="false">IF(M10&lt;1000,0,N10/M10-1)</f>
        <v>-0.0991688756350786</v>
      </c>
    </row>
    <row r="11" customFormat="false" ht="15" hidden="false" customHeight="false" outlineLevel="0" collapsed="false">
      <c r="A11" s="25" t="n">
        <f aca="false">ROW()-5</f>
        <v>6</v>
      </c>
      <c r="B11" s="4" t="s">
        <v>282</v>
      </c>
      <c r="C11" s="4" t="s">
        <v>283</v>
      </c>
      <c r="D11" s="4" t="s">
        <v>78</v>
      </c>
      <c r="E11" s="4" t="s">
        <v>153</v>
      </c>
      <c r="F11" s="16" t="n">
        <v>5178156.25</v>
      </c>
      <c r="G11" s="14" t="n">
        <f aca="false">IF(SUMIFS(F$6:F$473,D$6:D$473,D11,E$6:E$473,E11)=0,0,F11/SUMIFS(F$6:F$473,D$6:D$473,D11,E$6:E$473,E11))</f>
        <v>0.153363911505432</v>
      </c>
      <c r="H11" s="5" t="n">
        <f aca="false">SUMIFS(Pareto_Categories!$G$6:$G$84,Pareto_Categories!$B$6:$B$84,D11,Pareto_Categories!$C$6:$C$84,E11)</f>
        <v>152.006736079647</v>
      </c>
      <c r="I11" s="28" t="n">
        <f aca="false">G11*H11</f>
        <v>23.3123476203485</v>
      </c>
      <c r="J11" s="29" t="n">
        <f aca="false">I11/$I$475</f>
        <v>0.0201514104023012</v>
      </c>
      <c r="K11" s="14" t="n">
        <f aca="false">SUM(J$6:J11)</f>
        <v>0.200837585799826</v>
      </c>
      <c r="L11" s="4" t="str">
        <f aca="false">IF(I11&lt;=0,"-",IF(K11-J11&lt;0.8,"A - top 80%",IF(K11-J11&lt;0.95,"B - next 15%","C - tail")))</f>
        <v>A - top 80%</v>
      </c>
      <c r="M11" s="16" t="n">
        <v>10702272.4642857</v>
      </c>
      <c r="N11" s="16" t="n">
        <v>10597177.75</v>
      </c>
      <c r="O11" s="17" t="n">
        <f aca="false">N11-M11</f>
        <v>-105094.714285711</v>
      </c>
      <c r="P11" s="14" t="n">
        <f aca="false">IF(M11&lt;1000,"new",R11)</f>
        <v>-0.00981985037630273</v>
      </c>
      <c r="Q11" s="4" t="str">
        <f aca="false">IF(LEFT(L11,1)="A",IF(R11&lt;-0.05,"2 FIX","1 PROTECT"),IF(AND(N11&gt;=300000,OR(P11="new",R11&gt;=0.25),LEFT(L11,1)&lt;&gt;"-"),"3 SCALE","4 MAINTAIN"))</f>
        <v>1 PROTECT</v>
      </c>
      <c r="R11" s="14" t="n">
        <f aca="false">IF(M11&lt;1000,0,N11/M11-1)</f>
        <v>-0.00981985037630273</v>
      </c>
    </row>
    <row r="12" customFormat="false" ht="15" hidden="false" customHeight="false" outlineLevel="0" collapsed="false">
      <c r="A12" s="25" t="n">
        <f aca="false">ROW()-5</f>
        <v>7</v>
      </c>
      <c r="B12" s="4" t="s">
        <v>284</v>
      </c>
      <c r="C12" s="4" t="s">
        <v>285</v>
      </c>
      <c r="D12" s="4" t="s">
        <v>78</v>
      </c>
      <c r="E12" s="4" t="s">
        <v>151</v>
      </c>
      <c r="F12" s="16" t="n">
        <v>6802920.21428571</v>
      </c>
      <c r="G12" s="14" t="n">
        <f aca="false">IF(SUMIFS(F$6:F$473,D$6:D$473,D12,E$6:E$473,E12)=0,0,F12/SUMIFS(F$6:F$473,D$6:D$473,D12,E$6:E$473,E12))</f>
        <v>0.118661811188275</v>
      </c>
      <c r="H12" s="5" t="n">
        <f aca="false">SUMIFS(Pareto_Categories!$G$6:$G$84,Pareto_Categories!$B$6:$B$84,D12,Pareto_Categories!$C$6:$C$84,E12)</f>
        <v>192.620734264564</v>
      </c>
      <c r="I12" s="28" t="n">
        <f aca="false">G12*H12</f>
        <v>22.8567252002486</v>
      </c>
      <c r="J12" s="29" t="n">
        <f aca="false">I12/$I$475</f>
        <v>0.0197575661389328</v>
      </c>
      <c r="K12" s="14" t="n">
        <f aca="false">SUM(J$6:J12)</f>
        <v>0.220595151938759</v>
      </c>
      <c r="L12" s="4" t="str">
        <f aca="false">IF(I12&lt;=0,"-",IF(K12-J12&lt;0.8,"A - top 80%",IF(K12-J12&lt;0.95,"B - next 15%","C - tail")))</f>
        <v>A - top 80%</v>
      </c>
      <c r="M12" s="16" t="n">
        <v>7363075.89285714</v>
      </c>
      <c r="N12" s="16" t="n">
        <v>10556090.75</v>
      </c>
      <c r="O12" s="17" t="n">
        <f aca="false">N12-M12</f>
        <v>3193014.85714286</v>
      </c>
      <c r="P12" s="14" t="n">
        <f aca="false">IF(M12&lt;1000,"new",R12)</f>
        <v>0.433652308302346</v>
      </c>
      <c r="Q12" s="4" t="str">
        <f aca="false">IF(LEFT(L12,1)="A",IF(R12&lt;-0.05,"2 FIX","1 PROTECT"),IF(AND(N12&gt;=300000,OR(P12="new",R12&gt;=0.25),LEFT(L12,1)&lt;&gt;"-"),"3 SCALE","4 MAINTAIN"))</f>
        <v>1 PROTECT</v>
      </c>
      <c r="R12" s="14" t="n">
        <f aca="false">IF(M12&lt;1000,0,N12/M12-1)</f>
        <v>0.433652308302346</v>
      </c>
    </row>
    <row r="13" customFormat="false" ht="15" hidden="false" customHeight="false" outlineLevel="0" collapsed="false">
      <c r="A13" s="25" t="n">
        <f aca="false">ROW()-5</f>
        <v>8</v>
      </c>
      <c r="B13" s="4" t="s">
        <v>286</v>
      </c>
      <c r="C13" s="4" t="s">
        <v>287</v>
      </c>
      <c r="D13" s="4" t="s">
        <v>78</v>
      </c>
      <c r="E13" s="4" t="s">
        <v>153</v>
      </c>
      <c r="F13" s="16" t="n">
        <v>5059815.53571429</v>
      </c>
      <c r="G13" s="14" t="n">
        <f aca="false">IF(SUMIFS(F$6:F$473,D$6:D$473,D13,E$6:E$473,E13)=0,0,F13/SUMIFS(F$6:F$473,D$6:D$473,D13,E$6:E$473,E13))</f>
        <v>0.149858958399159</v>
      </c>
      <c r="H13" s="5" t="n">
        <f aca="false">SUMIFS(Pareto_Categories!$G$6:$G$84,Pareto_Categories!$B$6:$B$84,D13,Pareto_Categories!$C$6:$C$84,E13)</f>
        <v>152.006736079647</v>
      </c>
      <c r="I13" s="28" t="n">
        <f aca="false">G13*H13</f>
        <v>22.7795711385518</v>
      </c>
      <c r="J13" s="29" t="n">
        <f aca="false">I13/$I$475</f>
        <v>0.0196908734494286</v>
      </c>
      <c r="K13" s="14" t="n">
        <f aca="false">SUM(J$6:J13)</f>
        <v>0.240286025388188</v>
      </c>
      <c r="L13" s="4" t="str">
        <f aca="false">IF(I13&lt;=0,"-",IF(K13-J13&lt;0.8,"A - top 80%",IF(K13-J13&lt;0.95,"B - next 15%","C - tail")))</f>
        <v>A - top 80%</v>
      </c>
      <c r="M13" s="16" t="n">
        <v>8780450.40178571</v>
      </c>
      <c r="N13" s="16" t="n">
        <v>9878782.05357143</v>
      </c>
      <c r="O13" s="17" t="n">
        <f aca="false">N13-M13</f>
        <v>1098331.65178572</v>
      </c>
      <c r="P13" s="14" t="n">
        <f aca="false">IF(M13&lt;1000,"new",R13)</f>
        <v>0.12508830430411</v>
      </c>
      <c r="Q13" s="4" t="str">
        <f aca="false">IF(LEFT(L13,1)="A",IF(R13&lt;-0.05,"2 FIX","1 PROTECT"),IF(AND(N13&gt;=300000,OR(P13="new",R13&gt;=0.25),LEFT(L13,1)&lt;&gt;"-"),"3 SCALE","4 MAINTAIN"))</f>
        <v>1 PROTECT</v>
      </c>
      <c r="R13" s="14" t="n">
        <f aca="false">IF(M13&lt;1000,0,N13/M13-1)</f>
        <v>0.12508830430411</v>
      </c>
    </row>
    <row r="14" customFormat="false" ht="15" hidden="false" customHeight="false" outlineLevel="0" collapsed="false">
      <c r="A14" s="25" t="n">
        <f aca="false">ROW()-5</f>
        <v>9</v>
      </c>
      <c r="B14" s="4" t="s">
        <v>288</v>
      </c>
      <c r="C14" s="4" t="s">
        <v>289</v>
      </c>
      <c r="D14" s="4" t="s">
        <v>78</v>
      </c>
      <c r="E14" s="4" t="s">
        <v>155</v>
      </c>
      <c r="F14" s="16" t="n">
        <v>7207227.75</v>
      </c>
      <c r="G14" s="14" t="n">
        <f aca="false">IF(SUMIFS(F$6:F$473,D$6:D$473,D14,E$6:E$473,E14)=0,0,F14/SUMIFS(F$6:F$473,D$6:D$473,D14,E$6:E$473,E14))</f>
        <v>0.274683785577964</v>
      </c>
      <c r="H14" s="5" t="n">
        <f aca="false">SUMIFS(Pareto_Categories!$G$6:$G$84,Pareto_Categories!$B$6:$B$84,D14,Pareto_Categories!$C$6:$C$84,E14)</f>
        <v>80.8950655838976</v>
      </c>
      <c r="I14" s="28" t="n">
        <f aca="false">G14*H14</f>
        <v>22.2205628491626</v>
      </c>
      <c r="J14" s="29" t="n">
        <f aca="false">I14/$I$475</f>
        <v>0.0192076614777636</v>
      </c>
      <c r="K14" s="14" t="n">
        <f aca="false">SUM(J$6:J14)</f>
        <v>0.259493686865952</v>
      </c>
      <c r="L14" s="4" t="str">
        <f aca="false">IF(I14&lt;=0,"-",IF(K14-J14&lt;0.8,"A - top 80%",IF(K14-J14&lt;0.95,"B - next 15%","C - tail")))</f>
        <v>A - top 80%</v>
      </c>
      <c r="M14" s="16" t="n">
        <v>13696035.4642857</v>
      </c>
      <c r="N14" s="16" t="n">
        <v>14553149.1785714</v>
      </c>
      <c r="O14" s="17" t="n">
        <f aca="false">N14-M14</f>
        <v>857113.714285718</v>
      </c>
      <c r="P14" s="14" t="n">
        <f aca="false">IF(M14&lt;1000,"new",R14)</f>
        <v>0.062581154708657</v>
      </c>
      <c r="Q14" s="4" t="str">
        <f aca="false">IF(LEFT(L14,1)="A",IF(R14&lt;-0.05,"2 FIX","1 PROTECT"),IF(AND(N14&gt;=300000,OR(P14="new",R14&gt;=0.25),LEFT(L14,1)&lt;&gt;"-"),"3 SCALE","4 MAINTAIN"))</f>
        <v>1 PROTECT</v>
      </c>
      <c r="R14" s="14" t="n">
        <f aca="false">IF(M14&lt;1000,0,N14/M14-1)</f>
        <v>0.062581154708657</v>
      </c>
    </row>
    <row r="15" customFormat="false" ht="15" hidden="false" customHeight="false" outlineLevel="0" collapsed="false">
      <c r="A15" s="25" t="n">
        <f aca="false">ROW()-5</f>
        <v>10</v>
      </c>
      <c r="B15" s="4" t="s">
        <v>290</v>
      </c>
      <c r="C15" s="4" t="s">
        <v>291</v>
      </c>
      <c r="D15" s="4" t="s">
        <v>78</v>
      </c>
      <c r="E15" s="4" t="s">
        <v>153</v>
      </c>
      <c r="F15" s="16" t="n">
        <v>4902422.39285714</v>
      </c>
      <c r="G15" s="14" t="n">
        <f aca="false">IF(SUMIFS(F$6:F$473,D$6:D$473,D15,E$6:E$473,E15)=0,0,F15/SUMIFS(F$6:F$473,D$6:D$473,D15,E$6:E$473,E15))</f>
        <v>0.14519737097937</v>
      </c>
      <c r="H15" s="5" t="n">
        <f aca="false">SUMIFS(Pareto_Categories!$G$6:$G$84,Pareto_Categories!$B$6:$B$84,D15,Pareto_Categories!$C$6:$C$84,E15)</f>
        <v>152.006736079647</v>
      </c>
      <c r="I15" s="28" t="n">
        <f aca="false">G15*H15</f>
        <v>22.0709784499196</v>
      </c>
      <c r="J15" s="29" t="n">
        <f aca="false">I15/$I$475</f>
        <v>0.0190783593299054</v>
      </c>
      <c r="K15" s="14" t="n">
        <f aca="false">SUM(J$6:J15)</f>
        <v>0.278572046195857</v>
      </c>
      <c r="L15" s="4" t="str">
        <f aca="false">IF(I15&lt;=0,"-",IF(K15-J15&lt;0.8,"A - top 80%",IF(K15-J15&lt;0.95,"B - next 15%","C - tail")))</f>
        <v>A - top 80%</v>
      </c>
      <c r="M15" s="16" t="n">
        <v>10003671.4732143</v>
      </c>
      <c r="N15" s="16" t="n">
        <v>9983639.25</v>
      </c>
      <c r="O15" s="17" t="n">
        <f aca="false">N15-M15</f>
        <v>-20032.2232142892</v>
      </c>
      <c r="P15" s="14" t="n">
        <f aca="false">IF(M15&lt;1000,"new",R15)</f>
        <v>-0.00200248711364892</v>
      </c>
      <c r="Q15" s="4" t="str">
        <f aca="false">IF(LEFT(L15,1)="A",IF(R15&lt;-0.05,"2 FIX","1 PROTECT"),IF(AND(N15&gt;=300000,OR(P15="new",R15&gt;=0.25),LEFT(L15,1)&lt;&gt;"-"),"3 SCALE","4 MAINTAIN"))</f>
        <v>1 PROTECT</v>
      </c>
      <c r="R15" s="14" t="n">
        <f aca="false">IF(M15&lt;1000,0,N15/M15-1)</f>
        <v>-0.00200248711364892</v>
      </c>
    </row>
    <row r="16" customFormat="false" ht="15" hidden="false" customHeight="false" outlineLevel="0" collapsed="false">
      <c r="A16" s="25" t="n">
        <f aca="false">ROW()-5</f>
        <v>11</v>
      </c>
      <c r="B16" s="4" t="s">
        <v>292</v>
      </c>
      <c r="C16" s="4" t="s">
        <v>293</v>
      </c>
      <c r="D16" s="4" t="s">
        <v>78</v>
      </c>
      <c r="E16" s="4" t="s">
        <v>154</v>
      </c>
      <c r="F16" s="16" t="n">
        <v>6722915.82142857</v>
      </c>
      <c r="G16" s="14" t="n">
        <f aca="false">IF(SUMIFS(F$6:F$473,D$6:D$473,D16,E$6:E$473,E16)=0,0,F16/SUMIFS(F$6:F$473,D$6:D$473,D16,E$6:E$473,E16))</f>
        <v>0.179233956476272</v>
      </c>
      <c r="H16" s="5" t="n">
        <f aca="false">SUMIFS(Pareto_Categories!$G$6:$G$84,Pareto_Categories!$B$6:$B$84,D16,Pareto_Categories!$C$6:$C$84,E16)</f>
        <v>120.122971429313</v>
      </c>
      <c r="I16" s="28" t="n">
        <f aca="false">G16*H16</f>
        <v>21.530115432962</v>
      </c>
      <c r="J16" s="29" t="n">
        <f aca="false">I16/$I$475</f>
        <v>0.018610832300726</v>
      </c>
      <c r="K16" s="14" t="n">
        <f aca="false">SUM(J$6:J16)</f>
        <v>0.297182878496583</v>
      </c>
      <c r="L16" s="4" t="str">
        <f aca="false">IF(I16&lt;=0,"-",IF(K16-J16&lt;0.8,"A - top 80%",IF(K16-J16&lt;0.95,"B - next 15%","C - tail")))</f>
        <v>A - top 80%</v>
      </c>
      <c r="M16" s="16" t="n">
        <v>13614584.9821429</v>
      </c>
      <c r="N16" s="16" t="n">
        <v>14631592.4017857</v>
      </c>
      <c r="O16" s="17" t="n">
        <f aca="false">N16-M16</f>
        <v>1017007.41964285</v>
      </c>
      <c r="P16" s="14" t="n">
        <f aca="false">IF(M16&lt;1000,"new",R16)</f>
        <v>0.0746998473311362</v>
      </c>
      <c r="Q16" s="4" t="str">
        <f aca="false">IF(LEFT(L16,1)="A",IF(R16&lt;-0.05,"2 FIX","1 PROTECT"),IF(AND(N16&gt;=300000,OR(P16="new",R16&gt;=0.25),LEFT(L16,1)&lt;&gt;"-"),"3 SCALE","4 MAINTAIN"))</f>
        <v>1 PROTECT</v>
      </c>
      <c r="R16" s="14" t="n">
        <f aca="false">IF(M16&lt;1000,0,N16/M16-1)</f>
        <v>0.0746998473311362</v>
      </c>
    </row>
    <row r="17" customFormat="false" ht="15" hidden="false" customHeight="false" outlineLevel="0" collapsed="false">
      <c r="A17" s="25" t="n">
        <f aca="false">ROW()-5</f>
        <v>12</v>
      </c>
      <c r="B17" s="4" t="s">
        <v>294</v>
      </c>
      <c r="C17" s="4" t="s">
        <v>295</v>
      </c>
      <c r="D17" s="4" t="s">
        <v>78</v>
      </c>
      <c r="E17" s="4" t="s">
        <v>158</v>
      </c>
      <c r="F17" s="16" t="n">
        <v>7449190.17857143</v>
      </c>
      <c r="G17" s="14" t="n">
        <f aca="false">IF(SUMIFS(F$6:F$473,D$6:D$473,D17,E$6:E$473,E17)=0,0,F17/SUMIFS(F$6:F$473,D$6:D$473,D17,E$6:E$473,E17))</f>
        <v>0.604046616741444</v>
      </c>
      <c r="H17" s="5" t="n">
        <f aca="false">SUMIFS(Pareto_Categories!$G$6:$G$84,Pareto_Categories!$B$6:$B$84,D17,Pareto_Categories!$C$6:$C$84,E17)</f>
        <v>33.2897401825497</v>
      </c>
      <c r="I17" s="28" t="n">
        <f aca="false">G17*H17</f>
        <v>20.1085549294709</v>
      </c>
      <c r="J17" s="29" t="n">
        <f aca="false">I17/$I$475</f>
        <v>0.0173820221618215</v>
      </c>
      <c r="K17" s="14" t="n">
        <f aca="false">SUM(J$6:J17)</f>
        <v>0.314564900658404</v>
      </c>
      <c r="L17" s="4" t="str">
        <f aca="false">IF(I17&lt;=0,"-",IF(K17-J17&lt;0.8,"A - top 80%",IF(K17-J17&lt;0.95,"B - next 15%","C - tail")))</f>
        <v>A - top 80%</v>
      </c>
      <c r="M17" s="16" t="n">
        <v>15923136.5</v>
      </c>
      <c r="N17" s="16" t="n">
        <v>16185136.1071429</v>
      </c>
      <c r="O17" s="17" t="n">
        <f aca="false">N17-M17</f>
        <v>261999.607142851</v>
      </c>
      <c r="P17" s="14" t="n">
        <f aca="false">IF(M17&lt;1000,"new",R17)</f>
        <v>0.016454020044534</v>
      </c>
      <c r="Q17" s="4" t="str">
        <f aca="false">IF(LEFT(L17,1)="A",IF(R17&lt;-0.05,"2 FIX","1 PROTECT"),IF(AND(N17&gt;=300000,OR(P17="new",R17&gt;=0.25),LEFT(L17,1)&lt;&gt;"-"),"3 SCALE","4 MAINTAIN"))</f>
        <v>1 PROTECT</v>
      </c>
      <c r="R17" s="14" t="n">
        <f aca="false">IF(M17&lt;1000,0,N17/M17-1)</f>
        <v>0.016454020044534</v>
      </c>
    </row>
    <row r="18" customFormat="false" ht="15" hidden="false" customHeight="false" outlineLevel="0" collapsed="false">
      <c r="A18" s="25" t="n">
        <f aca="false">ROW()-5</f>
        <v>13</v>
      </c>
      <c r="B18" s="4" t="s">
        <v>296</v>
      </c>
      <c r="C18" s="4" t="s">
        <v>297</v>
      </c>
      <c r="D18" s="4" t="s">
        <v>78</v>
      </c>
      <c r="E18" s="4" t="s">
        <v>156</v>
      </c>
      <c r="F18" s="16" t="n">
        <v>6800479.08035714</v>
      </c>
      <c r="G18" s="14" t="n">
        <f aca="false">IF(SUMIFS(F$6:F$473,D$6:D$473,D18,E$6:E$473,E18)=0,0,F18/SUMIFS(F$6:F$473,D$6:D$473,D18,E$6:E$473,E18))</f>
        <v>0.377609339773172</v>
      </c>
      <c r="H18" s="5" t="n">
        <f aca="false">SUMIFS(Pareto_Categories!$G$6:$G$84,Pareto_Categories!$B$6:$B$84,D18,Pareto_Categories!$C$6:$C$84,E18)</f>
        <v>51.0983233945647</v>
      </c>
      <c r="I18" s="28" t="n">
        <f aca="false">G18*H18</f>
        <v>19.2952041605376</v>
      </c>
      <c r="J18" s="29" t="n">
        <f aca="false">I18/$I$475</f>
        <v>0.0166789541820228</v>
      </c>
      <c r="K18" s="14" t="n">
        <f aca="false">SUM(J$6:J18)</f>
        <v>0.331243854840427</v>
      </c>
      <c r="L18" s="4" t="str">
        <f aca="false">IF(I18&lt;=0,"-",IF(K18-J18&lt;0.8,"A - top 80%",IF(K18-J18&lt;0.95,"B - next 15%","C - tail")))</f>
        <v>A - top 80%</v>
      </c>
      <c r="M18" s="16" t="n">
        <v>13762533.0357143</v>
      </c>
      <c r="N18" s="16" t="n">
        <v>13837829.0178571</v>
      </c>
      <c r="O18" s="17" t="n">
        <f aca="false">N18-M18</f>
        <v>75295.9821428601</v>
      </c>
      <c r="P18" s="14" t="n">
        <f aca="false">IF(M18&lt;1000,"new",R18)</f>
        <v>0.00547108457051215</v>
      </c>
      <c r="Q18" s="4" t="str">
        <f aca="false">IF(LEFT(L18,1)="A",IF(R18&lt;-0.05,"2 FIX","1 PROTECT"),IF(AND(N18&gt;=300000,OR(P18="new",R18&gt;=0.25),LEFT(L18,1)&lt;&gt;"-"),"3 SCALE","4 MAINTAIN"))</f>
        <v>1 PROTECT</v>
      </c>
      <c r="R18" s="14" t="n">
        <f aca="false">IF(M18&lt;1000,0,N18/M18-1)</f>
        <v>0.00547108457051215</v>
      </c>
    </row>
    <row r="19" customFormat="false" ht="15" hidden="false" customHeight="false" outlineLevel="0" collapsed="false">
      <c r="A19" s="25" t="n">
        <f aca="false">ROW()-5</f>
        <v>14</v>
      </c>
      <c r="B19" s="4" t="s">
        <v>298</v>
      </c>
      <c r="C19" s="4" t="s">
        <v>299</v>
      </c>
      <c r="D19" s="4" t="s">
        <v>78</v>
      </c>
      <c r="E19" s="4" t="s">
        <v>152</v>
      </c>
      <c r="F19" s="16" t="n">
        <v>4243727.83928571</v>
      </c>
      <c r="G19" s="14" t="n">
        <f aca="false">IF(SUMIFS(F$6:F$473,D$6:D$473,D19,E$6:E$473,E19)=0,0,F19/SUMIFS(F$6:F$473,D$6:D$473,D19,E$6:E$473,E19))</f>
        <v>0.087555588486961</v>
      </c>
      <c r="H19" s="5" t="n">
        <f aca="false">SUMIFS(Pareto_Categories!$G$6:$G$84,Pareto_Categories!$B$6:$B$84,D19,Pareto_Categories!$C$6:$C$84,E19)</f>
        <v>175.162640843516</v>
      </c>
      <c r="I19" s="28" t="n">
        <f aca="false">G19*H19</f>
        <v>15.3364680999842</v>
      </c>
      <c r="J19" s="29" t="n">
        <f aca="false">I19/$I$475</f>
        <v>0.0132569858616394</v>
      </c>
      <c r="K19" s="14" t="n">
        <f aca="false">SUM(J$6:J19)</f>
        <v>0.344500840702067</v>
      </c>
      <c r="L19" s="4" t="str">
        <f aca="false">IF(I19&lt;=0,"-",IF(K19-J19&lt;0.8,"A - top 80%",IF(K19-J19&lt;0.95,"B - next 15%","C - tail")))</f>
        <v>A - top 80%</v>
      </c>
      <c r="M19" s="16" t="n">
        <v>9940862.5</v>
      </c>
      <c r="N19" s="16" t="n">
        <v>9151573.01785714</v>
      </c>
      <c r="O19" s="17" t="n">
        <f aca="false">N19-M19</f>
        <v>-789289.482142858</v>
      </c>
      <c r="P19" s="14" t="n">
        <f aca="false">IF(M19&lt;1000,"new",R19)</f>
        <v>-0.0793984910406776</v>
      </c>
      <c r="Q19" s="4" t="str">
        <f aca="false">IF(LEFT(L19,1)="A",IF(R19&lt;-0.05,"2 FIX","1 PROTECT"),IF(AND(N19&gt;=300000,OR(P19="new",R19&gt;=0.25),LEFT(L19,1)&lt;&gt;"-"),"3 SCALE","4 MAINTAIN"))</f>
        <v>2 FIX</v>
      </c>
      <c r="R19" s="14" t="n">
        <f aca="false">IF(M19&lt;1000,0,N19/M19-1)</f>
        <v>-0.0793984910406776</v>
      </c>
    </row>
    <row r="20" customFormat="false" ht="15" hidden="false" customHeight="false" outlineLevel="0" collapsed="false">
      <c r="A20" s="25" t="n">
        <f aca="false">ROW()-5</f>
        <v>15</v>
      </c>
      <c r="B20" s="4" t="s">
        <v>300</v>
      </c>
      <c r="C20" s="4" t="s">
        <v>301</v>
      </c>
      <c r="D20" s="4" t="s">
        <v>78</v>
      </c>
      <c r="E20" s="4" t="s">
        <v>154</v>
      </c>
      <c r="F20" s="16" t="n">
        <v>4692644.89285714</v>
      </c>
      <c r="G20" s="14" t="n">
        <f aca="false">IF(SUMIFS(F$6:F$473,D$6:D$473,D20,E$6:E$473,E20)=0,0,F20/SUMIFS(F$6:F$473,D$6:D$473,D20,E$6:E$473,E20))</f>
        <v>0.125106625283646</v>
      </c>
      <c r="H20" s="5" t="n">
        <f aca="false">SUMIFS(Pareto_Categories!$G$6:$G$84,Pareto_Categories!$B$6:$B$84,D20,Pareto_Categories!$C$6:$C$84,E20)</f>
        <v>120.122971429313</v>
      </c>
      <c r="I20" s="28" t="n">
        <f aca="false">G20*H20</f>
        <v>15.0281795745652</v>
      </c>
      <c r="J20" s="29" t="n">
        <f aca="false">I20/$I$475</f>
        <v>0.0129904983890256</v>
      </c>
      <c r="K20" s="14" t="n">
        <f aca="false">SUM(J$6:J20)</f>
        <v>0.357491339091092</v>
      </c>
      <c r="L20" s="4" t="str">
        <f aca="false">IF(I20&lt;=0,"-",IF(K20-J20&lt;0.8,"A - top 80%",IF(K20-J20&lt;0.95,"B - next 15%","C - tail")))</f>
        <v>A - top 80%</v>
      </c>
      <c r="M20" s="16" t="n">
        <v>9094389.26785714</v>
      </c>
      <c r="N20" s="16" t="n">
        <v>10289902.1785714</v>
      </c>
      <c r="O20" s="17" t="n">
        <f aca="false">N20-M20</f>
        <v>1195512.91071429</v>
      </c>
      <c r="P20" s="14" t="n">
        <f aca="false">IF(M20&lt;1000,"new",R20)</f>
        <v>0.131456096226237</v>
      </c>
      <c r="Q20" s="4" t="str">
        <f aca="false">IF(LEFT(L20,1)="A",IF(R20&lt;-0.05,"2 FIX","1 PROTECT"),IF(AND(N20&gt;=300000,OR(P20="new",R20&gt;=0.25),LEFT(L20,1)&lt;&gt;"-"),"3 SCALE","4 MAINTAIN"))</f>
        <v>1 PROTECT</v>
      </c>
      <c r="R20" s="14" t="n">
        <f aca="false">IF(M20&lt;1000,0,N20/M20-1)</f>
        <v>0.131456096226237</v>
      </c>
    </row>
    <row r="21" customFormat="false" ht="15" hidden="false" customHeight="false" outlineLevel="0" collapsed="false">
      <c r="A21" s="25" t="n">
        <f aca="false">ROW()-5</f>
        <v>16</v>
      </c>
      <c r="B21" s="4" t="s">
        <v>302</v>
      </c>
      <c r="C21" s="4" t="s">
        <v>303</v>
      </c>
      <c r="D21" s="4" t="s">
        <v>78</v>
      </c>
      <c r="E21" s="4" t="s">
        <v>163</v>
      </c>
      <c r="F21" s="16" t="n">
        <v>4696137.46428571</v>
      </c>
      <c r="G21" s="14" t="n">
        <f aca="false">IF(SUMIFS(F$6:F$473,D$6:D$473,D21,E$6:E$473,E21)=0,0,F21/SUMIFS(F$6:F$473,D$6:D$473,D21,E$6:E$473,E21))</f>
        <v>0.693725024878574</v>
      </c>
      <c r="H21" s="5" t="n">
        <f aca="false">SUMIFS(Pareto_Categories!$G$6:$G$84,Pareto_Categories!$B$6:$B$84,D21,Pareto_Categories!$C$6:$C$84,E21)</f>
        <v>20.2211384933392</v>
      </c>
      <c r="I21" s="28" t="n">
        <f aca="false">G21*H21</f>
        <v>14.0279098043648</v>
      </c>
      <c r="J21" s="29" t="n">
        <f aca="false">I21/$I$475</f>
        <v>0.0121258558836638</v>
      </c>
      <c r="K21" s="14" t="n">
        <f aca="false">SUM(J$6:J21)</f>
        <v>0.369617194974756</v>
      </c>
      <c r="L21" s="4" t="str">
        <f aca="false">IF(I21&lt;=0,"-",IF(K21-J21&lt;0.8,"A - top 80%",IF(K21-J21&lt;0.95,"B - next 15%","C - tail")))</f>
        <v>A - top 80%</v>
      </c>
      <c r="M21" s="16" t="n">
        <v>8441510.41071429</v>
      </c>
      <c r="N21" s="16" t="n">
        <v>9675552.52678571</v>
      </c>
      <c r="O21" s="17" t="n">
        <f aca="false">N21-M21</f>
        <v>1234042.11607143</v>
      </c>
      <c r="P21" s="14" t="n">
        <f aca="false">IF(M21&lt;1000,"new",R21)</f>
        <v>0.146187359374116</v>
      </c>
      <c r="Q21" s="4" t="str">
        <f aca="false">IF(LEFT(L21,1)="A",IF(R21&lt;-0.05,"2 FIX","1 PROTECT"),IF(AND(N21&gt;=300000,OR(P21="new",R21&gt;=0.25),LEFT(L21,1)&lt;&gt;"-"),"3 SCALE","4 MAINTAIN"))</f>
        <v>1 PROTECT</v>
      </c>
      <c r="R21" s="14" t="n">
        <f aca="false">IF(M21&lt;1000,0,N21/M21-1)</f>
        <v>0.146187359374116</v>
      </c>
    </row>
    <row r="22" customFormat="false" ht="15" hidden="false" customHeight="false" outlineLevel="0" collapsed="false">
      <c r="A22" s="25" t="n">
        <f aca="false">ROW()-5</f>
        <v>17</v>
      </c>
      <c r="B22" s="4" t="s">
        <v>304</v>
      </c>
      <c r="C22" s="4" t="s">
        <v>305</v>
      </c>
      <c r="D22" s="4" t="s">
        <v>78</v>
      </c>
      <c r="E22" s="4" t="s">
        <v>153</v>
      </c>
      <c r="F22" s="16" t="n">
        <v>2920856.25</v>
      </c>
      <c r="G22" s="14" t="n">
        <f aca="false">IF(SUMIFS(F$6:F$473,D$6:D$473,D22,E$6:E$473,E22)=0,0,F22/SUMIFS(F$6:F$473,D$6:D$473,D22,E$6:E$473,E22))</f>
        <v>0.0865083859617193</v>
      </c>
      <c r="H22" s="5" t="n">
        <f aca="false">SUMIFS(Pareto_Categories!$G$6:$G$84,Pareto_Categories!$B$6:$B$84,D22,Pareto_Categories!$C$6:$C$84,E22)</f>
        <v>152.006736079647</v>
      </c>
      <c r="I22" s="28" t="n">
        <f aca="false">G22*H22</f>
        <v>13.1498573935593</v>
      </c>
      <c r="J22" s="29" t="n">
        <f aca="false">I22/$I$475</f>
        <v>0.0113668592020328</v>
      </c>
      <c r="K22" s="14" t="n">
        <f aca="false">SUM(J$6:J22)</f>
        <v>0.380984054176789</v>
      </c>
      <c r="L22" s="4" t="str">
        <f aca="false">IF(I22&lt;=0,"-",IF(K22-J22&lt;0.8,"A - top 80%",IF(K22-J22&lt;0.95,"B - next 15%","C - tail")))</f>
        <v>A - top 80%</v>
      </c>
      <c r="M22" s="16" t="n">
        <v>5938622.96428571</v>
      </c>
      <c r="N22" s="16" t="n">
        <v>5902873.98214286</v>
      </c>
      <c r="O22" s="17" t="n">
        <f aca="false">N22-M22</f>
        <v>-35748.9821428573</v>
      </c>
      <c r="P22" s="14" t="n">
        <f aca="false">IF(M22&lt;1000,"new",R22)</f>
        <v>-0.006019742684095</v>
      </c>
      <c r="Q22" s="4" t="str">
        <f aca="false">IF(LEFT(L22,1)="A",IF(R22&lt;-0.05,"2 FIX","1 PROTECT"),IF(AND(N22&gt;=300000,OR(P22="new",R22&gt;=0.25),LEFT(L22,1)&lt;&gt;"-"),"3 SCALE","4 MAINTAIN"))</f>
        <v>1 PROTECT</v>
      </c>
      <c r="R22" s="14" t="n">
        <f aca="false">IF(M22&lt;1000,0,N22/M22-1)</f>
        <v>-0.006019742684095</v>
      </c>
    </row>
    <row r="23" customFormat="false" ht="15" hidden="false" customHeight="false" outlineLevel="0" collapsed="false">
      <c r="A23" s="25" t="n">
        <f aca="false">ROW()-5</f>
        <v>18</v>
      </c>
      <c r="B23" s="4" t="s">
        <v>306</v>
      </c>
      <c r="C23" s="4" t="s">
        <v>307</v>
      </c>
      <c r="D23" s="4" t="s">
        <v>78</v>
      </c>
      <c r="E23" s="4" t="s">
        <v>156</v>
      </c>
      <c r="F23" s="16" t="n">
        <v>4568129.625</v>
      </c>
      <c r="G23" s="14" t="n">
        <f aca="false">IF(SUMIFS(F$6:F$473,D$6:D$473,D23,E$6:E$473,E23)=0,0,F23/SUMIFS(F$6:F$473,D$6:D$473,D23,E$6:E$473,E23))</f>
        <v>0.253653954568731</v>
      </c>
      <c r="H23" s="5" t="n">
        <f aca="false">SUMIFS(Pareto_Categories!$G$6:$G$84,Pareto_Categories!$B$6:$B$84,D23,Pareto_Categories!$C$6:$C$84,E23)</f>
        <v>51.0983233945647</v>
      </c>
      <c r="I23" s="28" t="n">
        <f aca="false">G23*H23</f>
        <v>12.9612918008633</v>
      </c>
      <c r="J23" s="29" t="n">
        <f aca="false">I23/$I$475</f>
        <v>0.011203861347503</v>
      </c>
      <c r="K23" s="14" t="n">
        <f aca="false">SUM(J$6:J23)</f>
        <v>0.392187915524292</v>
      </c>
      <c r="L23" s="4" t="str">
        <f aca="false">IF(I23&lt;=0,"-",IF(K23-J23&lt;0.8,"A - top 80%",IF(K23-J23&lt;0.95,"B - next 15%","C - tail")))</f>
        <v>A - top 80%</v>
      </c>
      <c r="M23" s="16" t="n">
        <v>9756991.07142857</v>
      </c>
      <c r="N23" s="16" t="n">
        <v>9680306.41071428</v>
      </c>
      <c r="O23" s="17" t="n">
        <f aca="false">N23-M23</f>
        <v>-76684.6607142873</v>
      </c>
      <c r="P23" s="14" t="n">
        <f aca="false">IF(M23&lt;1000,"new",R23)</f>
        <v>-0.00785945791616471</v>
      </c>
      <c r="Q23" s="4" t="str">
        <f aca="false">IF(LEFT(L23,1)="A",IF(R23&lt;-0.05,"2 FIX","1 PROTECT"),IF(AND(N23&gt;=300000,OR(P23="new",R23&gt;=0.25),LEFT(L23,1)&lt;&gt;"-"),"3 SCALE","4 MAINTAIN"))</f>
        <v>1 PROTECT</v>
      </c>
      <c r="R23" s="14" t="n">
        <f aca="false">IF(M23&lt;1000,0,N23/M23-1)</f>
        <v>-0.00785945791616471</v>
      </c>
    </row>
    <row r="24" customFormat="false" ht="15" hidden="false" customHeight="false" outlineLevel="0" collapsed="false">
      <c r="A24" s="25" t="n">
        <f aca="false">ROW()-5</f>
        <v>19</v>
      </c>
      <c r="B24" s="4" t="s">
        <v>308</v>
      </c>
      <c r="C24" s="4" t="s">
        <v>309</v>
      </c>
      <c r="D24" s="4" t="s">
        <v>78</v>
      </c>
      <c r="E24" s="4" t="s">
        <v>152</v>
      </c>
      <c r="F24" s="16" t="n">
        <v>3498846.42857143</v>
      </c>
      <c r="G24" s="14" t="n">
        <f aca="false">IF(SUMIFS(F$6:F$473,D$6:D$473,D24,E$6:E$473,E24)=0,0,F24/SUMIFS(F$6:F$473,D$6:D$473,D24,E$6:E$473,E24))</f>
        <v>0.0721873714999206</v>
      </c>
      <c r="H24" s="5" t="n">
        <f aca="false">SUMIFS(Pareto_Categories!$G$6:$G$84,Pareto_Categories!$B$6:$B$84,D24,Pareto_Categories!$C$6:$C$84,E24)</f>
        <v>175.162640843516</v>
      </c>
      <c r="I24" s="28" t="n">
        <f aca="false">G24*H24</f>
        <v>12.6445306274781</v>
      </c>
      <c r="J24" s="29" t="n">
        <f aca="false">I24/$I$475</f>
        <v>0.0109300500390774</v>
      </c>
      <c r="K24" s="14" t="n">
        <f aca="false">SUM(J$6:J24)</f>
        <v>0.403117965563369</v>
      </c>
      <c r="L24" s="4" t="str">
        <f aca="false">IF(I24&lt;=0,"-",IF(K24-J24&lt;0.8,"A - top 80%",IF(K24-J24&lt;0.95,"B - next 15%","C - tail")))</f>
        <v>A - top 80%</v>
      </c>
      <c r="M24" s="16" t="n">
        <v>6558045.53571429</v>
      </c>
      <c r="N24" s="16" t="n">
        <v>7146649.49107143</v>
      </c>
      <c r="O24" s="17" t="n">
        <f aca="false">N24-M24</f>
        <v>588603.955357143</v>
      </c>
      <c r="P24" s="14" t="n">
        <f aca="false">IF(M24&lt;1000,"new",R24)</f>
        <v>0.0897529533992529</v>
      </c>
      <c r="Q24" s="4" t="str">
        <f aca="false">IF(LEFT(L24,1)="A",IF(R24&lt;-0.05,"2 FIX","1 PROTECT"),IF(AND(N24&gt;=300000,OR(P24="new",R24&gt;=0.25),LEFT(L24,1)&lt;&gt;"-"),"3 SCALE","4 MAINTAIN"))</f>
        <v>1 PROTECT</v>
      </c>
      <c r="R24" s="14" t="n">
        <f aca="false">IF(M24&lt;1000,0,N24/M24-1)</f>
        <v>0.0897529533992529</v>
      </c>
    </row>
    <row r="25" customFormat="false" ht="15" hidden="false" customHeight="false" outlineLevel="0" collapsed="false">
      <c r="A25" s="25" t="n">
        <f aca="false">ROW()-5</f>
        <v>20</v>
      </c>
      <c r="B25" s="4" t="s">
        <v>310</v>
      </c>
      <c r="C25" s="4" t="s">
        <v>311</v>
      </c>
      <c r="D25" s="4" t="s">
        <v>83</v>
      </c>
      <c r="E25" s="4" t="s">
        <v>180</v>
      </c>
      <c r="F25" s="16" t="n">
        <v>997368.75</v>
      </c>
      <c r="G25" s="14" t="n">
        <f aca="false">IF(SUMIFS(F$6:F$473,D$6:D$473,D25,E$6:E$473,E25)=0,0,F25/SUMIFS(F$6:F$473,D$6:D$473,D25,E$6:E$473,E25))</f>
        <v>1</v>
      </c>
      <c r="H25" s="5" t="n">
        <f aca="false">SUMIFS(Pareto_Categories!$G$6:$G$84,Pareto_Categories!$B$6:$B$84,D25,Pareto_Categories!$C$6:$C$84,E25)</f>
        <v>12.6114132111699</v>
      </c>
      <c r="I25" s="28" t="n">
        <f aca="false">G25*H25</f>
        <v>12.6114132111699</v>
      </c>
      <c r="J25" s="29" t="n">
        <f aca="false">I25/$I$475</f>
        <v>0.0109014230359819</v>
      </c>
      <c r="K25" s="14" t="n">
        <f aca="false">SUM(J$6:J25)</f>
        <v>0.414019388599351</v>
      </c>
      <c r="L25" s="4" t="str">
        <f aca="false">IF(I25&lt;=0,"-",IF(K25-J25&lt;0.8,"A - top 80%",IF(K25-J25&lt;0.95,"B - next 15%","C - tail")))</f>
        <v>A - top 80%</v>
      </c>
      <c r="M25" s="16" t="n">
        <v>2430775.89285714</v>
      </c>
      <c r="N25" s="16" t="n">
        <v>2083574.10714286</v>
      </c>
      <c r="O25" s="17" t="n">
        <f aca="false">N25-M25</f>
        <v>-347201.785714286</v>
      </c>
      <c r="P25" s="14" t="n">
        <f aca="false">IF(M25&lt;1000,"new",R25)</f>
        <v>-0.142835786192607</v>
      </c>
      <c r="Q25" s="4" t="str">
        <f aca="false">IF(LEFT(L25,1)="A",IF(R25&lt;-0.05,"2 FIX","1 PROTECT"),IF(AND(N25&gt;=300000,OR(P25="new",R25&gt;=0.25),LEFT(L25,1)&lt;&gt;"-"),"3 SCALE","4 MAINTAIN"))</f>
        <v>2 FIX</v>
      </c>
      <c r="R25" s="14" t="n">
        <f aca="false">IF(M25&lt;1000,0,N25/M25-1)</f>
        <v>-0.142835786192607</v>
      </c>
    </row>
    <row r="26" customFormat="false" ht="15" hidden="false" customHeight="false" outlineLevel="0" collapsed="false">
      <c r="A26" s="25" t="n">
        <f aca="false">ROW()-5</f>
        <v>21</v>
      </c>
      <c r="B26" s="4" t="s">
        <v>312</v>
      </c>
      <c r="C26" s="4" t="s">
        <v>313</v>
      </c>
      <c r="D26" s="4" t="s">
        <v>78</v>
      </c>
      <c r="E26" s="4" t="s">
        <v>152</v>
      </c>
      <c r="F26" s="16" t="n">
        <v>3374306.25</v>
      </c>
      <c r="G26" s="14" t="n">
        <f aca="false">IF(SUMIFS(F$6:F$473,D$6:D$473,D26,E$6:E$473,E26)=0,0,F26/SUMIFS(F$6:F$473,D$6:D$473,D26,E$6:E$473,E26))</f>
        <v>0.069617888008508</v>
      </c>
      <c r="H26" s="5" t="n">
        <f aca="false">SUMIFS(Pareto_Categories!$G$6:$G$84,Pareto_Categories!$B$6:$B$84,D26,Pareto_Categories!$C$6:$C$84,E26)</f>
        <v>175.162640843516</v>
      </c>
      <c r="I26" s="28" t="n">
        <f aca="false">G26*H26</f>
        <v>12.1944531135184</v>
      </c>
      <c r="J26" s="29" t="n">
        <f aca="false">I26/$I$475</f>
        <v>0.0105409988442191</v>
      </c>
      <c r="K26" s="14" t="n">
        <f aca="false">SUM(J$6:J26)</f>
        <v>0.42456038744357</v>
      </c>
      <c r="L26" s="4" t="str">
        <f aca="false">IF(I26&lt;=0,"-",IF(K26-J26&lt;0.8,"A - top 80%",IF(K26-J26&lt;0.95,"B - next 15%","C - tail")))</f>
        <v>A - top 80%</v>
      </c>
      <c r="M26" s="16" t="n">
        <v>6975696.42857143</v>
      </c>
      <c r="N26" s="16" t="n">
        <v>7075090.17857143</v>
      </c>
      <c r="O26" s="17" t="n">
        <f aca="false">N26-M26</f>
        <v>99393.7499999991</v>
      </c>
      <c r="P26" s="14" t="n">
        <f aca="false">IF(M26&lt;1000,"new",R26)</f>
        <v>0.0142485773309884</v>
      </c>
      <c r="Q26" s="4" t="str">
        <f aca="false">IF(LEFT(L26,1)="A",IF(R26&lt;-0.05,"2 FIX","1 PROTECT"),IF(AND(N26&gt;=300000,OR(P26="new",R26&gt;=0.25),LEFT(L26,1)&lt;&gt;"-"),"3 SCALE","4 MAINTAIN"))</f>
        <v>1 PROTECT</v>
      </c>
      <c r="R26" s="14" t="n">
        <f aca="false">IF(M26&lt;1000,0,N26/M26-1)</f>
        <v>0.0142485773309884</v>
      </c>
    </row>
    <row r="27" customFormat="false" ht="15" hidden="false" customHeight="false" outlineLevel="0" collapsed="false">
      <c r="A27" s="25" t="n">
        <f aca="false">ROW()-5</f>
        <v>22</v>
      </c>
      <c r="B27" s="4" t="s">
        <v>314</v>
      </c>
      <c r="C27" s="4" t="s">
        <v>315</v>
      </c>
      <c r="D27" s="4" t="s">
        <v>78</v>
      </c>
      <c r="E27" s="4" t="s">
        <v>160</v>
      </c>
      <c r="F27" s="16" t="n">
        <v>3526927.57142857</v>
      </c>
      <c r="G27" s="14" t="n">
        <f aca="false">IF(SUMIFS(F$6:F$473,D$6:D$473,D27,E$6:E$473,E27)=0,0,F27/SUMIFS(F$6:F$473,D$6:D$473,D27,E$6:E$473,E27))</f>
        <v>0.463994526221841</v>
      </c>
      <c r="H27" s="5" t="n">
        <f aca="false">SUMIFS(Pareto_Categories!$G$6:$G$84,Pareto_Categories!$B$6:$B$84,D27,Pareto_Categories!$C$6:$C$84,E27)</f>
        <v>26.1756629837819</v>
      </c>
      <c r="I27" s="28" t="n">
        <f aca="false">G27*H27</f>
        <v>12.1453643447025</v>
      </c>
      <c r="J27" s="29" t="n">
        <f aca="false">I27/$I$475</f>
        <v>0.010498566055267</v>
      </c>
      <c r="K27" s="14" t="n">
        <f aca="false">SUM(J$6:J27)</f>
        <v>0.435058953498837</v>
      </c>
      <c r="L27" s="4" t="str">
        <f aca="false">IF(I27&lt;=0,"-",IF(K27-J27&lt;0.8,"A - top 80%",IF(K27-J27&lt;0.95,"B - next 15%","C - tail")))</f>
        <v>A - top 80%</v>
      </c>
      <c r="M27" s="16" t="n">
        <v>6972375.375</v>
      </c>
      <c r="N27" s="16" t="n">
        <v>7311839.92857143</v>
      </c>
      <c r="O27" s="17" t="n">
        <f aca="false">N27-M27</f>
        <v>339464.553571428</v>
      </c>
      <c r="P27" s="14" t="n">
        <f aca="false">IF(M27&lt;1000,"new",R27)</f>
        <v>0.0486870736748635</v>
      </c>
      <c r="Q27" s="4" t="str">
        <f aca="false">IF(LEFT(L27,1)="A",IF(R27&lt;-0.05,"2 FIX","1 PROTECT"),IF(AND(N27&gt;=300000,OR(P27="new",R27&gt;=0.25),LEFT(L27,1)&lt;&gt;"-"),"3 SCALE","4 MAINTAIN"))</f>
        <v>1 PROTECT</v>
      </c>
      <c r="R27" s="14" t="n">
        <f aca="false">IF(M27&lt;1000,0,N27/M27-1)</f>
        <v>0.0486870736748635</v>
      </c>
    </row>
    <row r="28" customFormat="false" ht="15" hidden="false" customHeight="false" outlineLevel="0" collapsed="false">
      <c r="A28" s="25" t="n">
        <f aca="false">ROW()-5</f>
        <v>23</v>
      </c>
      <c r="B28" s="4" t="s">
        <v>316</v>
      </c>
      <c r="C28" s="4" t="s">
        <v>317</v>
      </c>
      <c r="D28" s="4" t="s">
        <v>78</v>
      </c>
      <c r="E28" s="4" t="s">
        <v>153</v>
      </c>
      <c r="F28" s="16" t="n">
        <v>2597060.64285714</v>
      </c>
      <c r="G28" s="14" t="n">
        <f aca="false">IF(SUMIFS(F$6:F$473,D$6:D$473,D28,E$6:E$473,E28)=0,0,F28/SUMIFS(F$6:F$473,D$6:D$473,D28,E$6:E$473,E28))</f>
        <v>0.0769183777730508</v>
      </c>
      <c r="H28" s="5" t="n">
        <f aca="false">SUMIFS(Pareto_Categories!$G$6:$G$84,Pareto_Categories!$B$6:$B$84,D28,Pareto_Categories!$C$6:$C$84,E28)</f>
        <v>152.006736079647</v>
      </c>
      <c r="I28" s="28" t="n">
        <f aca="false">G28*H28</f>
        <v>11.6921115498227</v>
      </c>
      <c r="J28" s="29" t="n">
        <f aca="false">I28/$I$475</f>
        <v>0.0101067701180084</v>
      </c>
      <c r="K28" s="14" t="n">
        <f aca="false">SUM(J$6:J28)</f>
        <v>0.445165723616846</v>
      </c>
      <c r="L28" s="4" t="str">
        <f aca="false">IF(I28&lt;=0,"-",IF(K28-J28&lt;0.8,"A - top 80%",IF(K28-J28&lt;0.95,"B - next 15%","C - tail")))</f>
        <v>A - top 80%</v>
      </c>
      <c r="M28" s="16" t="n">
        <v>4701176.41071429</v>
      </c>
      <c r="N28" s="16" t="n">
        <v>5080978.375</v>
      </c>
      <c r="O28" s="17" t="n">
        <f aca="false">N28-M28</f>
        <v>379801.964285715</v>
      </c>
      <c r="P28" s="14" t="n">
        <f aca="false">IF(M28&lt;1000,"new",R28)</f>
        <v>0.080788707145752</v>
      </c>
      <c r="Q28" s="4" t="str">
        <f aca="false">IF(LEFT(L28,1)="A",IF(R28&lt;-0.05,"2 FIX","1 PROTECT"),IF(AND(N28&gt;=300000,OR(P28="new",R28&gt;=0.25),LEFT(L28,1)&lt;&gt;"-"),"3 SCALE","4 MAINTAIN"))</f>
        <v>1 PROTECT</v>
      </c>
      <c r="R28" s="14" t="n">
        <f aca="false">IF(M28&lt;1000,0,N28/M28-1)</f>
        <v>0.080788707145752</v>
      </c>
    </row>
    <row r="29" customFormat="false" ht="15" hidden="false" customHeight="false" outlineLevel="0" collapsed="false">
      <c r="A29" s="25" t="n">
        <f aca="false">ROW()-5</f>
        <v>24</v>
      </c>
      <c r="B29" s="4" t="s">
        <v>318</v>
      </c>
      <c r="C29" s="4" t="s">
        <v>319</v>
      </c>
      <c r="D29" s="4" t="s">
        <v>78</v>
      </c>
      <c r="E29" s="4" t="s">
        <v>157</v>
      </c>
      <c r="F29" s="16" t="n">
        <v>3685591.07142857</v>
      </c>
      <c r="G29" s="14" t="n">
        <f aca="false">IF(SUMIFS(F$6:F$473,D$6:D$473,D29,E$6:E$473,E29)=0,0,F29/SUMIFS(F$6:F$473,D$6:D$473,D29,E$6:E$473,E29))</f>
        <v>0.285459747005774</v>
      </c>
      <c r="H29" s="5" t="n">
        <f aca="false">SUMIFS(Pareto_Categories!$G$6:$G$84,Pareto_Categories!$B$6:$B$84,D29,Pareto_Categories!$C$6:$C$84,E29)</f>
        <v>38.9811115222903</v>
      </c>
      <c r="I29" s="28" t="n">
        <f aca="false">G29*H29</f>
        <v>11.1275382331568</v>
      </c>
      <c r="J29" s="29" t="n">
        <f aca="false">I29/$I$475</f>
        <v>0.00961874768493557</v>
      </c>
      <c r="K29" s="14" t="n">
        <f aca="false">SUM(J$6:J29)</f>
        <v>0.454784471301781</v>
      </c>
      <c r="L29" s="4" t="str">
        <f aca="false">IF(I29&lt;=0,"-",IF(K29-J29&lt;0.8,"A - top 80%",IF(K29-J29&lt;0.95,"B - next 15%","C - tail")))</f>
        <v>A - top 80%</v>
      </c>
      <c r="M29" s="16" t="n">
        <v>7805369.19642857</v>
      </c>
      <c r="N29" s="16" t="n">
        <v>7722660.9375</v>
      </c>
      <c r="O29" s="17" t="n">
        <f aca="false">N29-M29</f>
        <v>-82708.2589285718</v>
      </c>
      <c r="P29" s="14" t="n">
        <f aca="false">IF(M29&lt;1000,"new",R29)</f>
        <v>-0.0105963288663419</v>
      </c>
      <c r="Q29" s="4" t="str">
        <f aca="false">IF(LEFT(L29,1)="A",IF(R29&lt;-0.05,"2 FIX","1 PROTECT"),IF(AND(N29&gt;=300000,OR(P29="new",R29&gt;=0.25),LEFT(L29,1)&lt;&gt;"-"),"3 SCALE","4 MAINTAIN"))</f>
        <v>1 PROTECT</v>
      </c>
      <c r="R29" s="14" t="n">
        <f aca="false">IF(M29&lt;1000,0,N29/M29-1)</f>
        <v>-0.0105963288663419</v>
      </c>
    </row>
    <row r="30" customFormat="false" ht="15" hidden="false" customHeight="false" outlineLevel="0" collapsed="false">
      <c r="A30" s="25" t="n">
        <f aca="false">ROW()-5</f>
        <v>25</v>
      </c>
      <c r="B30" s="4" t="s">
        <v>320</v>
      </c>
      <c r="C30" s="4" t="s">
        <v>321</v>
      </c>
      <c r="D30" s="4" t="s">
        <v>78</v>
      </c>
      <c r="E30" s="4" t="s">
        <v>159</v>
      </c>
      <c r="F30" s="16" t="n">
        <v>3240287.5</v>
      </c>
      <c r="G30" s="14" t="n">
        <f aca="false">IF(SUMIFS(F$6:F$473,D$6:D$473,D30,E$6:E$473,E30)=0,0,F30/SUMIFS(F$6:F$473,D$6:D$473,D30,E$6:E$473,E30))</f>
        <v>0.336723329560817</v>
      </c>
      <c r="H30" s="5" t="n">
        <f aca="false">SUMIFS(Pareto_Categories!$G$6:$G$84,Pareto_Categories!$B$6:$B$84,D30,Pareto_Categories!$C$6:$C$84,E30)</f>
        <v>31.1872499991218</v>
      </c>
      <c r="I30" s="28" t="n">
        <f aca="false">G30*H30</f>
        <v>10.5014746595499</v>
      </c>
      <c r="J30" s="29" t="n">
        <f aca="false">I30/$I$475</f>
        <v>0.00907757250107406</v>
      </c>
      <c r="K30" s="14" t="n">
        <f aca="false">SUM(J$6:J30)</f>
        <v>0.463862043802855</v>
      </c>
      <c r="L30" s="4" t="str">
        <f aca="false">IF(I30&lt;=0,"-",IF(K30-J30&lt;0.8,"A - top 80%",IF(K30-J30&lt;0.95,"B - next 15%","C - tail")))</f>
        <v>A - top 80%</v>
      </c>
      <c r="M30" s="16" t="n">
        <v>6106368.875</v>
      </c>
      <c r="N30" s="16" t="n">
        <v>6670883.03571429</v>
      </c>
      <c r="O30" s="17" t="n">
        <f aca="false">N30-M30</f>
        <v>564514.160714285</v>
      </c>
      <c r="P30" s="14" t="n">
        <f aca="false">IF(M30&lt;1000,"new",R30)</f>
        <v>0.0924467833945399</v>
      </c>
      <c r="Q30" s="4" t="str">
        <f aca="false">IF(LEFT(L30,1)="A",IF(R30&lt;-0.05,"2 FIX","1 PROTECT"),IF(AND(N30&gt;=300000,OR(P30="new",R30&gt;=0.25),LEFT(L30,1)&lt;&gt;"-"),"3 SCALE","4 MAINTAIN"))</f>
        <v>1 PROTECT</v>
      </c>
      <c r="R30" s="14" t="n">
        <f aca="false">IF(M30&lt;1000,0,N30/M30-1)</f>
        <v>0.0924467833945399</v>
      </c>
    </row>
    <row r="31" customFormat="false" ht="15" hidden="false" customHeight="false" outlineLevel="0" collapsed="false">
      <c r="A31" s="25" t="n">
        <f aca="false">ROW()-5</f>
        <v>26</v>
      </c>
      <c r="B31" s="4" t="s">
        <v>322</v>
      </c>
      <c r="C31" s="4" t="s">
        <v>323</v>
      </c>
      <c r="D31" s="4" t="s">
        <v>78</v>
      </c>
      <c r="E31" s="4" t="s">
        <v>159</v>
      </c>
      <c r="F31" s="16" t="n">
        <v>3127039.625</v>
      </c>
      <c r="G31" s="14" t="n">
        <f aca="false">IF(SUMIFS(F$6:F$473,D$6:D$473,D31,E$6:E$473,E31)=0,0,F31/SUMIFS(F$6:F$473,D$6:D$473,D31,E$6:E$473,E31))</f>
        <v>0.324954867183424</v>
      </c>
      <c r="H31" s="5" t="n">
        <f aca="false">SUMIFS(Pareto_Categories!$G$6:$G$84,Pareto_Categories!$B$6:$B$84,D31,Pareto_Categories!$C$6:$C$84,E31)</f>
        <v>31.1872499991218</v>
      </c>
      <c r="I31" s="28" t="n">
        <f aca="false">G31*H31</f>
        <v>10.1344486812808</v>
      </c>
      <c r="J31" s="29" t="n">
        <f aca="false">I31/$I$475</f>
        <v>0.00876031182716624</v>
      </c>
      <c r="K31" s="14" t="n">
        <f aca="false">SUM(J$6:J31)</f>
        <v>0.472622355630022</v>
      </c>
      <c r="L31" s="4" t="str">
        <f aca="false">IF(I31&lt;=0,"-",IF(K31-J31&lt;0.8,"A - top 80%",IF(K31-J31&lt;0.95,"B - next 15%","C - tail")))</f>
        <v>A - top 80%</v>
      </c>
      <c r="M31" s="16" t="n">
        <v>4772714.75</v>
      </c>
      <c r="N31" s="16" t="n">
        <v>6320561.75892857</v>
      </c>
      <c r="O31" s="17" t="n">
        <f aca="false">N31-M31</f>
        <v>1547847.00892857</v>
      </c>
      <c r="P31" s="14" t="n">
        <f aca="false">IF(M31&lt;1000,"new",R31)</f>
        <v>0.324311652802751</v>
      </c>
      <c r="Q31" s="4" t="str">
        <f aca="false">IF(LEFT(L31,1)="A",IF(R31&lt;-0.05,"2 FIX","1 PROTECT"),IF(AND(N31&gt;=300000,OR(P31="new",R31&gt;=0.25),LEFT(L31,1)&lt;&gt;"-"),"3 SCALE","4 MAINTAIN"))</f>
        <v>1 PROTECT</v>
      </c>
      <c r="R31" s="14" t="n">
        <f aca="false">IF(M31&lt;1000,0,N31/M31-1)</f>
        <v>0.324311652802751</v>
      </c>
    </row>
    <row r="32" customFormat="false" ht="15" hidden="false" customHeight="false" outlineLevel="0" collapsed="false">
      <c r="A32" s="25" t="n">
        <f aca="false">ROW()-5</f>
        <v>27</v>
      </c>
      <c r="B32" s="4" t="s">
        <v>324</v>
      </c>
      <c r="C32" s="4" t="s">
        <v>311</v>
      </c>
      <c r="D32" s="4" t="s">
        <v>78</v>
      </c>
      <c r="E32" s="4" t="s">
        <v>156</v>
      </c>
      <c r="F32" s="16" t="n">
        <v>3556006.28571429</v>
      </c>
      <c r="G32" s="14" t="n">
        <f aca="false">IF(SUMIFS(F$6:F$473,D$6:D$473,D32,E$6:E$473,E32)=0,0,F32/SUMIFS(F$6:F$473,D$6:D$473,D32,E$6:E$473,E32))</f>
        <v>0.197453910218823</v>
      </c>
      <c r="H32" s="5" t="n">
        <f aca="false">SUMIFS(Pareto_Categories!$G$6:$G$84,Pareto_Categories!$B$6:$B$84,D32,Pareto_Categories!$C$6:$C$84,E32)</f>
        <v>51.0983233945647</v>
      </c>
      <c r="I32" s="28" t="n">
        <f aca="false">G32*H32</f>
        <v>10.0895637598828</v>
      </c>
      <c r="J32" s="29" t="n">
        <f aca="false">I32/$I$475</f>
        <v>0.00872151288307455</v>
      </c>
      <c r="K32" s="14" t="n">
        <f aca="false">SUM(J$6:J32)</f>
        <v>0.481343868513096</v>
      </c>
      <c r="L32" s="4" t="str">
        <f aca="false">IF(I32&lt;=0,"-",IF(K32-J32&lt;0.8,"A - top 80%",IF(K32-J32&lt;0.95,"B - next 15%","C - tail")))</f>
        <v>A - top 80%</v>
      </c>
      <c r="M32" s="16" t="n">
        <v>7040072.17857143</v>
      </c>
      <c r="N32" s="16" t="n">
        <v>7668506.69642857</v>
      </c>
      <c r="O32" s="17" t="n">
        <f aca="false">N32-M32</f>
        <v>628434.517857143</v>
      </c>
      <c r="P32" s="14" t="n">
        <f aca="false">IF(M32&lt;1000,"new",R32)</f>
        <v>0.0892653515357373</v>
      </c>
      <c r="Q32" s="4" t="str">
        <f aca="false">IF(LEFT(L32,1)="A",IF(R32&lt;-0.05,"2 FIX","1 PROTECT"),IF(AND(N32&gt;=300000,OR(P32="new",R32&gt;=0.25),LEFT(L32,1)&lt;&gt;"-"),"3 SCALE","4 MAINTAIN"))</f>
        <v>1 PROTECT</v>
      </c>
      <c r="R32" s="14" t="n">
        <f aca="false">IF(M32&lt;1000,0,N32/M32-1)</f>
        <v>0.0892653515357373</v>
      </c>
    </row>
    <row r="33" customFormat="false" ht="15" hidden="false" customHeight="false" outlineLevel="0" collapsed="false">
      <c r="A33" s="25" t="n">
        <f aca="false">ROW()-5</f>
        <v>28</v>
      </c>
      <c r="B33" s="4" t="s">
        <v>325</v>
      </c>
      <c r="C33" s="4" t="s">
        <v>326</v>
      </c>
      <c r="D33" s="4" t="s">
        <v>78</v>
      </c>
      <c r="E33" s="4" t="s">
        <v>154</v>
      </c>
      <c r="F33" s="16" t="n">
        <v>3041079.69642857</v>
      </c>
      <c r="G33" s="14" t="n">
        <f aca="false">IF(SUMIFS(F$6:F$473,D$6:D$473,D33,E$6:E$473,E33)=0,0,F33/SUMIFS(F$6:F$473,D$6:D$473,D33,E$6:E$473,E33))</f>
        <v>0.0810756464052724</v>
      </c>
      <c r="H33" s="5" t="n">
        <f aca="false">SUMIFS(Pareto_Categories!$G$6:$G$84,Pareto_Categories!$B$6:$B$84,D33,Pareto_Categories!$C$6:$C$84,E33)</f>
        <v>120.122971429313</v>
      </c>
      <c r="I33" s="28" t="n">
        <f aca="false">G33*H33</f>
        <v>9.73904755675364</v>
      </c>
      <c r="J33" s="29" t="n">
        <f aca="false">I33/$I$475</f>
        <v>0.00841852341256126</v>
      </c>
      <c r="K33" s="14" t="n">
        <f aca="false">SUM(J$6:J33)</f>
        <v>0.489762391925657</v>
      </c>
      <c r="L33" s="4" t="str">
        <f aca="false">IF(I33&lt;=0,"-",IF(K33-J33&lt;0.8,"A - top 80%",IF(K33-J33&lt;0.95,"B - next 15%","C - tail")))</f>
        <v>A - top 80%</v>
      </c>
      <c r="M33" s="16" t="n">
        <v>4931980.98214286</v>
      </c>
      <c r="N33" s="16" t="n">
        <v>6225596.44642857</v>
      </c>
      <c r="O33" s="17" t="n">
        <f aca="false">N33-M33</f>
        <v>1293615.46428571</v>
      </c>
      <c r="P33" s="14" t="n">
        <f aca="false">IF(M33&lt;1000,"new",R33)</f>
        <v>0.262291251521344</v>
      </c>
      <c r="Q33" s="4" t="str">
        <f aca="false">IF(LEFT(L33,1)="A",IF(R33&lt;-0.05,"2 FIX","1 PROTECT"),IF(AND(N33&gt;=300000,OR(P33="new",R33&gt;=0.25),LEFT(L33,1)&lt;&gt;"-"),"3 SCALE","4 MAINTAIN"))</f>
        <v>1 PROTECT</v>
      </c>
      <c r="R33" s="14" t="n">
        <f aca="false">IF(M33&lt;1000,0,N33/M33-1)</f>
        <v>0.262291251521344</v>
      </c>
    </row>
    <row r="34" customFormat="false" ht="15" hidden="false" customHeight="false" outlineLevel="0" collapsed="false">
      <c r="A34" s="25" t="n">
        <f aca="false">ROW()-5</f>
        <v>29</v>
      </c>
      <c r="B34" s="4" t="s">
        <v>327</v>
      </c>
      <c r="C34" s="4" t="s">
        <v>328</v>
      </c>
      <c r="D34" s="4" t="s">
        <v>78</v>
      </c>
      <c r="E34" s="4" t="s">
        <v>157</v>
      </c>
      <c r="F34" s="16" t="n">
        <v>3064755.28571429</v>
      </c>
      <c r="G34" s="14" t="n">
        <f aca="false">IF(SUMIFS(F$6:F$473,D$6:D$473,D34,E$6:E$473,E34)=0,0,F34/SUMIFS(F$6:F$473,D$6:D$473,D34,E$6:E$473,E34))</f>
        <v>0.237374209872801</v>
      </c>
      <c r="H34" s="5" t="n">
        <f aca="false">SUMIFS(Pareto_Categories!$G$6:$G$84,Pareto_Categories!$B$6:$B$84,D34,Pareto_Categories!$C$6:$C$84,E34)</f>
        <v>38.9811115222903</v>
      </c>
      <c r="I34" s="28" t="n">
        <f aca="false">G34*H34</f>
        <v>9.2531105475672</v>
      </c>
      <c r="J34" s="29" t="n">
        <f aca="false">I34/$I$475</f>
        <v>0.00799847493605196</v>
      </c>
      <c r="K34" s="14" t="n">
        <f aca="false">SUM(J$6:J34)</f>
        <v>0.497760866861709</v>
      </c>
      <c r="L34" s="4" t="str">
        <f aca="false">IF(I34&lt;=0,"-",IF(K34-J34&lt;0.8,"A - top 80%",IF(K34-J34&lt;0.95,"B - next 15%","C - tail")))</f>
        <v>A - top 80%</v>
      </c>
      <c r="M34" s="16" t="n">
        <v>6313699.875</v>
      </c>
      <c r="N34" s="16" t="n">
        <v>6348756.78571429</v>
      </c>
      <c r="O34" s="17" t="n">
        <f aca="false">N34-M34</f>
        <v>35056.9107142855</v>
      </c>
      <c r="P34" s="14" t="n">
        <f aca="false">IF(M34&lt;1000,"new",R34)</f>
        <v>0.0055525145965678</v>
      </c>
      <c r="Q34" s="4" t="str">
        <f aca="false">IF(LEFT(L34,1)="A",IF(R34&lt;-0.05,"2 FIX","1 PROTECT"),IF(AND(N34&gt;=300000,OR(P34="new",R34&gt;=0.25),LEFT(L34,1)&lt;&gt;"-"),"3 SCALE","4 MAINTAIN"))</f>
        <v>1 PROTECT</v>
      </c>
      <c r="R34" s="14" t="n">
        <f aca="false">IF(M34&lt;1000,0,N34/M34-1)</f>
        <v>0.0055525145965678</v>
      </c>
    </row>
    <row r="35" customFormat="false" ht="15" hidden="false" customHeight="false" outlineLevel="0" collapsed="false">
      <c r="A35" s="25" t="n">
        <f aca="false">ROW()-5</f>
        <v>30</v>
      </c>
      <c r="B35" s="4" t="s">
        <v>329</v>
      </c>
      <c r="C35" s="4" t="s">
        <v>281</v>
      </c>
      <c r="D35" s="4" t="s">
        <v>78</v>
      </c>
      <c r="E35" s="4" t="s">
        <v>155</v>
      </c>
      <c r="F35" s="16" t="n">
        <v>2978068.77678571</v>
      </c>
      <c r="G35" s="14" t="n">
        <f aca="false">IF(SUMIFS(F$6:F$473,D$6:D$473,D35,E$6:E$473,E35)=0,0,F35/SUMIFS(F$6:F$473,D$6:D$473,D35,E$6:E$473,E35))</f>
        <v>0.113500951224836</v>
      </c>
      <c r="H35" s="5" t="n">
        <f aca="false">SUMIFS(Pareto_Categories!$G$6:$G$84,Pareto_Categories!$B$6:$B$84,D35,Pareto_Categories!$C$6:$C$84,E35)</f>
        <v>80.8950655838976</v>
      </c>
      <c r="I35" s="28" t="n">
        <f aca="false">G35*H35</f>
        <v>9.18166689316789</v>
      </c>
      <c r="J35" s="29" t="n">
        <f aca="false">I35/$I$475</f>
        <v>0.00793671837579957</v>
      </c>
      <c r="K35" s="14" t="n">
        <f aca="false">SUM(J$6:J35)</f>
        <v>0.505697585237509</v>
      </c>
      <c r="L35" s="4" t="str">
        <f aca="false">IF(I35&lt;=0,"-",IF(K35-J35&lt;0.8,"A - top 80%",IF(K35-J35&lt;0.95,"B - next 15%","C - tail")))</f>
        <v>A - top 80%</v>
      </c>
      <c r="M35" s="16" t="n">
        <v>5351293.40178571</v>
      </c>
      <c r="N35" s="16" t="n">
        <v>5994276.33035714</v>
      </c>
      <c r="O35" s="17" t="n">
        <f aca="false">N35-M35</f>
        <v>642982.928571428</v>
      </c>
      <c r="P35" s="14" t="n">
        <f aca="false">IF(M35&lt;1000,"new",R35)</f>
        <v>0.120154676691221</v>
      </c>
      <c r="Q35" s="4" t="str">
        <f aca="false">IF(LEFT(L35,1)="A",IF(R35&lt;-0.05,"2 FIX","1 PROTECT"),IF(AND(N35&gt;=300000,OR(P35="new",R35&gt;=0.25),LEFT(L35,1)&lt;&gt;"-"),"3 SCALE","4 MAINTAIN"))</f>
        <v>1 PROTECT</v>
      </c>
      <c r="R35" s="14" t="n">
        <f aca="false">IF(M35&lt;1000,0,N35/M35-1)</f>
        <v>0.120154676691221</v>
      </c>
    </row>
    <row r="36" customFormat="false" ht="15" hidden="false" customHeight="false" outlineLevel="0" collapsed="false">
      <c r="A36" s="25" t="n">
        <f aca="false">ROW()-5</f>
        <v>31</v>
      </c>
      <c r="B36" s="4" t="s">
        <v>330</v>
      </c>
      <c r="C36" s="4" t="s">
        <v>331</v>
      </c>
      <c r="D36" s="4" t="s">
        <v>78</v>
      </c>
      <c r="E36" s="4" t="s">
        <v>160</v>
      </c>
      <c r="F36" s="16" t="n">
        <v>2550806.69642857</v>
      </c>
      <c r="G36" s="14" t="n">
        <f aca="false">IF(SUMIFS(F$6:F$473,D$6:D$473,D36,E$6:E$473,E36)=0,0,F36/SUMIFS(F$6:F$473,D$6:D$473,D36,E$6:E$473,E36))</f>
        <v>0.335578296016291</v>
      </c>
      <c r="H36" s="5" t="n">
        <f aca="false">SUMIFS(Pareto_Categories!$G$6:$G$84,Pareto_Categories!$B$6:$B$84,D36,Pareto_Categories!$C$6:$C$84,E36)</f>
        <v>26.1756629837819</v>
      </c>
      <c r="I36" s="28" t="n">
        <f aca="false">G36*H36</f>
        <v>8.78398438119423</v>
      </c>
      <c r="J36" s="29" t="n">
        <f aca="false">I36/$I$475</f>
        <v>0.0075929579086382</v>
      </c>
      <c r="K36" s="14" t="n">
        <f aca="false">SUM(J$6:J36)</f>
        <v>0.513290543146147</v>
      </c>
      <c r="L36" s="4" t="str">
        <f aca="false">IF(I36&lt;=0,"-",IF(K36-J36&lt;0.8,"A - top 80%",IF(K36-J36&lt;0.95,"B - next 15%","C - tail")))</f>
        <v>A - top 80%</v>
      </c>
      <c r="M36" s="16" t="n">
        <v>4748694.38392857</v>
      </c>
      <c r="N36" s="16" t="n">
        <v>5398236.16071429</v>
      </c>
      <c r="O36" s="17" t="n">
        <f aca="false">N36-M36</f>
        <v>649541.776785715</v>
      </c>
      <c r="P36" s="14" t="n">
        <f aca="false">IF(M36&lt;1000,"new",R36)</f>
        <v>0.136783234352587</v>
      </c>
      <c r="Q36" s="4" t="str">
        <f aca="false">IF(LEFT(L36,1)="A",IF(R36&lt;-0.05,"2 FIX","1 PROTECT"),IF(AND(N36&gt;=300000,OR(P36="new",R36&gt;=0.25),LEFT(L36,1)&lt;&gt;"-"),"3 SCALE","4 MAINTAIN"))</f>
        <v>1 PROTECT</v>
      </c>
      <c r="R36" s="14" t="n">
        <f aca="false">IF(M36&lt;1000,0,N36/M36-1)</f>
        <v>0.136783234352587</v>
      </c>
    </row>
    <row r="37" customFormat="false" ht="15" hidden="false" customHeight="false" outlineLevel="0" collapsed="false">
      <c r="A37" s="25" t="n">
        <f aca="false">ROW()-5</f>
        <v>32</v>
      </c>
      <c r="B37" s="4" t="s">
        <v>332</v>
      </c>
      <c r="C37" s="4" t="s">
        <v>333</v>
      </c>
      <c r="D37" s="4" t="s">
        <v>78</v>
      </c>
      <c r="E37" s="4" t="s">
        <v>151</v>
      </c>
      <c r="F37" s="16" t="n">
        <v>2413353.57142857</v>
      </c>
      <c r="G37" s="14" t="n">
        <f aca="false">IF(SUMIFS(F$6:F$473,D$6:D$473,D37,E$6:E$473,E37)=0,0,F37/SUMIFS(F$6:F$473,D$6:D$473,D37,E$6:E$473,E37))</f>
        <v>0.0420955849551259</v>
      </c>
      <c r="H37" s="5" t="n">
        <f aca="false">SUMIFS(Pareto_Categories!$G$6:$G$84,Pareto_Categories!$B$6:$B$84,D37,Pareto_Categories!$C$6:$C$84,E37)</f>
        <v>192.620734264564</v>
      </c>
      <c r="I37" s="28" t="n">
        <f aca="false">G37*H37</f>
        <v>8.10848248335266</v>
      </c>
      <c r="J37" s="29" t="n">
        <f aca="false">I37/$I$475</f>
        <v>0.00700904777686507</v>
      </c>
      <c r="K37" s="14" t="n">
        <f aca="false">SUM(J$6:J37)</f>
        <v>0.520299590923012</v>
      </c>
      <c r="L37" s="4" t="str">
        <f aca="false">IF(I37&lt;=0,"-",IF(K37-J37&lt;0.8,"A - top 80%",IF(K37-J37&lt;0.95,"B - next 15%","C - tail")))</f>
        <v>A - top 80%</v>
      </c>
      <c r="M37" s="16" t="n">
        <v>5012081.25</v>
      </c>
      <c r="N37" s="16" t="n">
        <v>5034514.28571429</v>
      </c>
      <c r="O37" s="17" t="n">
        <f aca="false">N37-M37</f>
        <v>22433.0357142855</v>
      </c>
      <c r="P37" s="14" t="n">
        <f aca="false">IF(M37&lt;1000,"new",R37)</f>
        <v>0.00447579250920671</v>
      </c>
      <c r="Q37" s="4" t="str">
        <f aca="false">IF(LEFT(L37,1)="A",IF(R37&lt;-0.05,"2 FIX","1 PROTECT"),IF(AND(N37&gt;=300000,OR(P37="new",R37&gt;=0.25),LEFT(L37,1)&lt;&gt;"-"),"3 SCALE","4 MAINTAIN"))</f>
        <v>1 PROTECT</v>
      </c>
      <c r="R37" s="14" t="n">
        <f aca="false">IF(M37&lt;1000,0,N37/M37-1)</f>
        <v>0.00447579250920671</v>
      </c>
    </row>
    <row r="38" customFormat="false" ht="15" hidden="false" customHeight="false" outlineLevel="0" collapsed="false">
      <c r="A38" s="25" t="n">
        <f aca="false">ROW()-5</f>
        <v>33</v>
      </c>
      <c r="B38" s="4" t="s">
        <v>334</v>
      </c>
      <c r="C38" s="4" t="s">
        <v>335</v>
      </c>
      <c r="D38" s="4" t="s">
        <v>78</v>
      </c>
      <c r="E38" s="4" t="s">
        <v>151</v>
      </c>
      <c r="F38" s="16" t="n">
        <v>2394758.03571429</v>
      </c>
      <c r="G38" s="14" t="n">
        <f aca="false">IF(SUMIFS(F$6:F$473,D$6:D$473,D38,E$6:E$473,E38)=0,0,F38/SUMIFS(F$6:F$473,D$6:D$473,D38,E$6:E$473,E38))</f>
        <v>0.0417712271972266</v>
      </c>
      <c r="H38" s="5" t="n">
        <f aca="false">SUMIFS(Pareto_Categories!$G$6:$G$84,Pareto_Categories!$B$6:$B$84,D38,Pareto_Categories!$C$6:$C$84,E38)</f>
        <v>192.620734264564</v>
      </c>
      <c r="I38" s="28" t="n">
        <f aca="false">G38*H38</f>
        <v>8.04600445386169</v>
      </c>
      <c r="J38" s="29" t="n">
        <f aca="false">I38/$I$475</f>
        <v>0.00695504118628469</v>
      </c>
      <c r="K38" s="14" t="n">
        <f aca="false">SUM(J$6:J38)</f>
        <v>0.527254632109297</v>
      </c>
      <c r="L38" s="4" t="str">
        <f aca="false">IF(I38&lt;=0,"-",IF(K38-J38&lt;0.8,"A - top 80%",IF(K38-J38&lt;0.95,"B - next 15%","C - tail")))</f>
        <v>A - top 80%</v>
      </c>
      <c r="M38" s="16" t="n">
        <v>4420856.44642857</v>
      </c>
      <c r="N38" s="16" t="n">
        <v>4991521.42857143</v>
      </c>
      <c r="O38" s="17" t="n">
        <f aca="false">N38-M38</f>
        <v>570664.982142857</v>
      </c>
      <c r="P38" s="14" t="n">
        <f aca="false">IF(M38&lt;1000,"new",R38)</f>
        <v>0.129084712217669</v>
      </c>
      <c r="Q38" s="4" t="str">
        <f aca="false">IF(LEFT(L38,1)="A",IF(R38&lt;-0.05,"2 FIX","1 PROTECT"),IF(AND(N38&gt;=300000,OR(P38="new",R38&gt;=0.25),LEFT(L38,1)&lt;&gt;"-"),"3 SCALE","4 MAINTAIN"))</f>
        <v>1 PROTECT</v>
      </c>
      <c r="R38" s="14" t="n">
        <f aca="false">IF(M38&lt;1000,0,N38/M38-1)</f>
        <v>0.129084712217669</v>
      </c>
    </row>
    <row r="39" customFormat="false" ht="15" hidden="false" customHeight="false" outlineLevel="0" collapsed="false">
      <c r="A39" s="25" t="n">
        <f aca="false">ROW()-5</f>
        <v>34</v>
      </c>
      <c r="B39" s="4" t="s">
        <v>336</v>
      </c>
      <c r="C39" s="4" t="s">
        <v>337</v>
      </c>
      <c r="D39" s="4" t="s">
        <v>78</v>
      </c>
      <c r="E39" s="4" t="s">
        <v>159</v>
      </c>
      <c r="F39" s="16" t="n">
        <v>2362909.78571429</v>
      </c>
      <c r="G39" s="14" t="n">
        <f aca="false">IF(SUMIFS(F$6:F$473,D$6:D$473,D39,E$6:E$473,E39)=0,0,F39/SUMIFS(F$6:F$473,D$6:D$473,D39,E$6:E$473,E39))</f>
        <v>0.245548226969844</v>
      </c>
      <c r="H39" s="5" t="n">
        <f aca="false">SUMIFS(Pareto_Categories!$G$6:$G$84,Pareto_Categories!$B$6:$B$84,D39,Pareto_Categories!$C$6:$C$84,E39)</f>
        <v>31.1872499991218</v>
      </c>
      <c r="I39" s="28" t="n">
        <f aca="false">G39*H39</f>
        <v>7.65797394134964</v>
      </c>
      <c r="J39" s="29" t="n">
        <f aca="false">I39/$I$475</f>
        <v>0.00661962399735171</v>
      </c>
      <c r="K39" s="14" t="n">
        <f aca="false">SUM(J$6:J39)</f>
        <v>0.533874256106649</v>
      </c>
      <c r="L39" s="4" t="str">
        <f aca="false">IF(I39&lt;=0,"-",IF(K39-J39&lt;0.8,"A - top 80%",IF(K39-J39&lt;0.95,"B - next 15%","C - tail")))</f>
        <v>A - top 80%</v>
      </c>
      <c r="M39" s="16" t="n">
        <v>4081861.9375</v>
      </c>
      <c r="N39" s="16" t="n">
        <v>4821816.92857143</v>
      </c>
      <c r="O39" s="17" t="n">
        <f aca="false">N39-M39</f>
        <v>739954.991071428</v>
      </c>
      <c r="P39" s="14" t="n">
        <f aca="false">IF(M39&lt;1000,"new",R39)</f>
        <v>0.181278789533148</v>
      </c>
      <c r="Q39" s="4" t="str">
        <f aca="false">IF(LEFT(L39,1)="A",IF(R39&lt;-0.05,"2 FIX","1 PROTECT"),IF(AND(N39&gt;=300000,OR(P39="new",R39&gt;=0.25),LEFT(L39,1)&lt;&gt;"-"),"3 SCALE","4 MAINTAIN"))</f>
        <v>1 PROTECT</v>
      </c>
      <c r="R39" s="14" t="n">
        <f aca="false">IF(M39&lt;1000,0,N39/M39-1)</f>
        <v>0.181278789533148</v>
      </c>
    </row>
    <row r="40" customFormat="false" ht="15" hidden="false" customHeight="false" outlineLevel="0" collapsed="false">
      <c r="A40" s="25" t="n">
        <f aca="false">ROW()-5</f>
        <v>35</v>
      </c>
      <c r="B40" s="4" t="s">
        <v>338</v>
      </c>
      <c r="C40" s="4" t="s">
        <v>339</v>
      </c>
      <c r="D40" s="4" t="s">
        <v>78</v>
      </c>
      <c r="E40" s="4" t="s">
        <v>153</v>
      </c>
      <c r="F40" s="16" t="n">
        <v>1690825</v>
      </c>
      <c r="G40" s="14" t="n">
        <f aca="false">IF(SUMIFS(F$6:F$473,D$6:D$473,D40,E$6:E$473,E40)=0,0,F40/SUMIFS(F$6:F$473,D$6:D$473,D40,E$6:E$473,E40))</f>
        <v>0.0500779665872718</v>
      </c>
      <c r="H40" s="5" t="n">
        <f aca="false">SUMIFS(Pareto_Categories!$G$6:$G$84,Pareto_Categories!$B$6:$B$84,D40,Pareto_Categories!$C$6:$C$84,E40)</f>
        <v>152.006736079647</v>
      </c>
      <c r="I40" s="28" t="n">
        <f aca="false">G40*H40</f>
        <v>7.61218825043679</v>
      </c>
      <c r="J40" s="29" t="n">
        <f aca="false">I40/$I$475</f>
        <v>0.00658004641970216</v>
      </c>
      <c r="K40" s="14" t="n">
        <f aca="false">SUM(J$6:J40)</f>
        <v>0.540454302526351</v>
      </c>
      <c r="L40" s="4" t="str">
        <f aca="false">IF(I40&lt;=0,"-",IF(K40-J40&lt;0.8,"A - top 80%",IF(K40-J40&lt;0.95,"B - next 15%","C - tail")))</f>
        <v>A - top 80%</v>
      </c>
      <c r="M40" s="16" t="n">
        <v>3345716.73214286</v>
      </c>
      <c r="N40" s="16" t="n">
        <v>3407752.67857143</v>
      </c>
      <c r="O40" s="17" t="n">
        <f aca="false">N40-M40</f>
        <v>62035.9464285714</v>
      </c>
      <c r="P40" s="14" t="n">
        <f aca="false">IF(M40&lt;1000,"new",R40)</f>
        <v>0.0185419004043534</v>
      </c>
      <c r="Q40" s="4" t="str">
        <f aca="false">IF(LEFT(L40,1)="A",IF(R40&lt;-0.05,"2 FIX","1 PROTECT"),IF(AND(N40&gt;=300000,OR(P40="new",R40&gt;=0.25),LEFT(L40,1)&lt;&gt;"-"),"3 SCALE","4 MAINTAIN"))</f>
        <v>1 PROTECT</v>
      </c>
      <c r="R40" s="14" t="n">
        <f aca="false">IF(M40&lt;1000,0,N40/M40-1)</f>
        <v>0.0185419004043534</v>
      </c>
    </row>
    <row r="41" customFormat="false" ht="15" hidden="false" customHeight="false" outlineLevel="0" collapsed="false">
      <c r="A41" s="25" t="n">
        <f aca="false">ROW()-5</f>
        <v>36</v>
      </c>
      <c r="B41" s="4" t="s">
        <v>340</v>
      </c>
      <c r="C41" s="4" t="s">
        <v>341</v>
      </c>
      <c r="D41" s="4" t="s">
        <v>78</v>
      </c>
      <c r="E41" s="4" t="s">
        <v>152</v>
      </c>
      <c r="F41" s="16" t="n">
        <v>2080617.85714286</v>
      </c>
      <c r="G41" s="14" t="n">
        <f aca="false">IF(SUMIFS(F$6:F$473,D$6:D$473,D41,E$6:E$473,E41)=0,0,F41/SUMIFS(F$6:F$473,D$6:D$473,D41,E$6:E$473,E41))</f>
        <v>0.0429268152430069</v>
      </c>
      <c r="H41" s="5" t="n">
        <f aca="false">SUMIFS(Pareto_Categories!$G$6:$G$84,Pareto_Categories!$B$6:$B$84,D41,Pareto_Categories!$C$6:$C$84,E41)</f>
        <v>175.162640843516</v>
      </c>
      <c r="I41" s="28" t="n">
        <f aca="false">G41*H41</f>
        <v>7.51917432096679</v>
      </c>
      <c r="J41" s="29" t="n">
        <f aca="false">I41/$I$475</f>
        <v>0.00649964431278417</v>
      </c>
      <c r="K41" s="14" t="n">
        <f aca="false">SUM(J$6:J41)</f>
        <v>0.546953946839135</v>
      </c>
      <c r="L41" s="4" t="str">
        <f aca="false">IF(I41&lt;=0,"-",IF(K41-J41&lt;0.8,"A - top 80%",IF(K41-J41&lt;0.95,"B - next 15%","C - tail")))</f>
        <v>A - top 80%</v>
      </c>
      <c r="M41" s="16" t="n">
        <v>3754681.11607143</v>
      </c>
      <c r="N41" s="16" t="n">
        <v>3930807.14285714</v>
      </c>
      <c r="O41" s="17" t="n">
        <f aca="false">N41-M41</f>
        <v>176126.026785715</v>
      </c>
      <c r="P41" s="14" t="n">
        <f aca="false">IF(M41&lt;1000,"new",R41)</f>
        <v>0.0469083848510676</v>
      </c>
      <c r="Q41" s="4" t="str">
        <f aca="false">IF(LEFT(L41,1)="A",IF(R41&lt;-0.05,"2 FIX","1 PROTECT"),IF(AND(N41&gt;=300000,OR(P41="new",R41&gt;=0.25),LEFT(L41,1)&lt;&gt;"-"),"3 SCALE","4 MAINTAIN"))</f>
        <v>1 PROTECT</v>
      </c>
      <c r="R41" s="14" t="n">
        <f aca="false">IF(M41&lt;1000,0,N41/M41-1)</f>
        <v>0.0469083848510676</v>
      </c>
    </row>
    <row r="42" customFormat="false" ht="15" hidden="false" customHeight="false" outlineLevel="0" collapsed="false">
      <c r="A42" s="25" t="n">
        <f aca="false">ROW()-5</f>
        <v>37</v>
      </c>
      <c r="B42" s="4" t="s">
        <v>342</v>
      </c>
      <c r="C42" s="4" t="s">
        <v>343</v>
      </c>
      <c r="D42" s="4" t="s">
        <v>83</v>
      </c>
      <c r="E42" s="4" t="s">
        <v>224</v>
      </c>
      <c r="F42" s="16" t="n">
        <v>1152966.07142857</v>
      </c>
      <c r="G42" s="14" t="n">
        <f aca="false">IF(SUMIFS(F$6:F$473,D$6:D$473,D42,E$6:E$473,E42)=0,0,F42/SUMIFS(F$6:F$473,D$6:D$473,D42,E$6:E$473,E42))</f>
        <v>0.99926331412688</v>
      </c>
      <c r="H42" s="5" t="n">
        <f aca="false">SUMIFS(Pareto_Categories!$G$6:$G$84,Pareto_Categories!$B$6:$B$84,D42,Pareto_Categories!$C$6:$C$84,E42)</f>
        <v>7.36664272281266</v>
      </c>
      <c r="I42" s="28" t="n">
        <f aca="false">G42*H42</f>
        <v>7.36121582118644</v>
      </c>
      <c r="J42" s="29" t="n">
        <f aca="false">I42/$I$475</f>
        <v>0.00636310351442943</v>
      </c>
      <c r="K42" s="14" t="n">
        <f aca="false">SUM(J$6:J42)</f>
        <v>0.553317050353565</v>
      </c>
      <c r="L42" s="4" t="str">
        <f aca="false">IF(I42&lt;=0,"-",IF(K42-J42&lt;0.8,"A - top 80%",IF(K42-J42&lt;0.95,"B - next 15%","C - tail")))</f>
        <v>A - top 80%</v>
      </c>
      <c r="M42" s="16" t="n">
        <v>2705196.42857143</v>
      </c>
      <c r="N42" s="16" t="n">
        <v>2438208.92857143</v>
      </c>
      <c r="O42" s="17" t="n">
        <f aca="false">N42-M42</f>
        <v>-266987.5</v>
      </c>
      <c r="P42" s="14" t="n">
        <f aca="false">IF(M42&lt;1000,"new",R42)</f>
        <v>-0.0986943118733126</v>
      </c>
      <c r="Q42" s="4" t="str">
        <f aca="false">IF(LEFT(L42,1)="A",IF(R42&lt;-0.05,"2 FIX","1 PROTECT"),IF(AND(N42&gt;=300000,OR(P42="new",R42&gt;=0.25),LEFT(L42,1)&lt;&gt;"-"),"3 SCALE","4 MAINTAIN"))</f>
        <v>2 FIX</v>
      </c>
      <c r="R42" s="14" t="n">
        <f aca="false">IF(M42&lt;1000,0,N42/M42-1)</f>
        <v>-0.0986943118733126</v>
      </c>
    </row>
    <row r="43" customFormat="false" ht="15" hidden="false" customHeight="false" outlineLevel="0" collapsed="false">
      <c r="A43" s="25" t="n">
        <f aca="false">ROW()-5</f>
        <v>38</v>
      </c>
      <c r="B43" s="4" t="s">
        <v>344</v>
      </c>
      <c r="C43" s="4" t="s">
        <v>345</v>
      </c>
      <c r="D43" s="4" t="s">
        <v>78</v>
      </c>
      <c r="E43" s="4" t="s">
        <v>153</v>
      </c>
      <c r="F43" s="16" t="n">
        <v>1615162.8125</v>
      </c>
      <c r="G43" s="14" t="n">
        <f aca="false">IF(SUMIFS(F$6:F$473,D$6:D$473,D43,E$6:E$473,E43)=0,0,F43/SUMIFS(F$6:F$473,D$6:D$473,D43,E$6:E$473,E43))</f>
        <v>0.0478370436664817</v>
      </c>
      <c r="H43" s="5" t="n">
        <f aca="false">SUMIFS(Pareto_Categories!$G$6:$G$84,Pareto_Categories!$B$6:$B$84,D43,Pareto_Categories!$C$6:$C$84,E43)</f>
        <v>152.006736079647</v>
      </c>
      <c r="I43" s="28" t="n">
        <f aca="false">G43*H43</f>
        <v>7.27155287144142</v>
      </c>
      <c r="J43" s="29" t="n">
        <f aca="false">I43/$I$475</f>
        <v>0.00628559802559502</v>
      </c>
      <c r="K43" s="14" t="n">
        <f aca="false">SUM(J$6:J43)</f>
        <v>0.559602648379159</v>
      </c>
      <c r="L43" s="4" t="str">
        <f aca="false">IF(I43&lt;=0,"-",IF(K43-J43&lt;0.8,"A - top 80%",IF(K43-J43&lt;0.95,"B - next 15%","C - tail")))</f>
        <v>A - top 80%</v>
      </c>
      <c r="M43" s="16" t="n">
        <v>3174805.35714286</v>
      </c>
      <c r="N43" s="16" t="n">
        <v>3225711.02678571</v>
      </c>
      <c r="O43" s="17" t="n">
        <f aca="false">N43-M43</f>
        <v>50905.6696428573</v>
      </c>
      <c r="P43" s="14" t="n">
        <f aca="false">IF(M43&lt;1000,"new",R43)</f>
        <v>0.0160342647552634</v>
      </c>
      <c r="Q43" s="4" t="str">
        <f aca="false">IF(LEFT(L43,1)="A",IF(R43&lt;-0.05,"2 FIX","1 PROTECT"),IF(AND(N43&gt;=300000,OR(P43="new",R43&gt;=0.25),LEFT(L43,1)&lt;&gt;"-"),"3 SCALE","4 MAINTAIN"))</f>
        <v>1 PROTECT</v>
      </c>
      <c r="R43" s="14" t="n">
        <f aca="false">IF(M43&lt;1000,0,N43/M43-1)</f>
        <v>0.0160342647552634</v>
      </c>
    </row>
    <row r="44" customFormat="false" ht="15" hidden="false" customHeight="false" outlineLevel="0" collapsed="false">
      <c r="A44" s="25" t="n">
        <f aca="false">ROW()-5</f>
        <v>39</v>
      </c>
      <c r="B44" s="4" t="s">
        <v>346</v>
      </c>
      <c r="C44" s="4" t="s">
        <v>347</v>
      </c>
      <c r="D44" s="4" t="s">
        <v>78</v>
      </c>
      <c r="E44" s="4" t="s">
        <v>152</v>
      </c>
      <c r="F44" s="16" t="n">
        <v>2007400.89285714</v>
      </c>
      <c r="G44" s="14" t="n">
        <f aca="false">IF(SUMIFS(F$6:F$473,D$6:D$473,D44,E$6:E$473,E44)=0,0,F44/SUMIFS(F$6:F$473,D$6:D$473,D44,E$6:E$473,E44))</f>
        <v>0.0414162201629172</v>
      </c>
      <c r="H44" s="5" t="n">
        <f aca="false">SUMIFS(Pareto_Categories!$G$6:$G$84,Pareto_Categories!$B$6:$B$84,D44,Pareto_Categories!$C$6:$C$84,E44)</f>
        <v>175.162640843516</v>
      </c>
      <c r="I44" s="28" t="n">
        <f aca="false">G44*H44</f>
        <v>7.25457449749306</v>
      </c>
      <c r="J44" s="29" t="n">
        <f aca="false">I44/$I$475</f>
        <v>0.00627092176102618</v>
      </c>
      <c r="K44" s="14" t="n">
        <f aca="false">SUM(J$6:J44)</f>
        <v>0.565873570140186</v>
      </c>
      <c r="L44" s="4" t="str">
        <f aca="false">IF(I44&lt;=0,"-",IF(K44-J44&lt;0.8,"A - top 80%",IF(K44-J44&lt;0.95,"B - next 15%","C - tail")))</f>
        <v>A - top 80%</v>
      </c>
      <c r="M44" s="16" t="n">
        <v>4412509.63392857</v>
      </c>
      <c r="N44" s="16" t="n">
        <v>4125038.39285714</v>
      </c>
      <c r="O44" s="17" t="n">
        <f aca="false">N44-M44</f>
        <v>-287471.241071428</v>
      </c>
      <c r="P44" s="14" t="n">
        <f aca="false">IF(M44&lt;1000,"new",R44)</f>
        <v>-0.0651491475193641</v>
      </c>
      <c r="Q44" s="4" t="str">
        <f aca="false">IF(LEFT(L44,1)="A",IF(R44&lt;-0.05,"2 FIX","1 PROTECT"),IF(AND(N44&gt;=300000,OR(P44="new",R44&gt;=0.25),LEFT(L44,1)&lt;&gt;"-"),"3 SCALE","4 MAINTAIN"))</f>
        <v>2 FIX</v>
      </c>
      <c r="R44" s="14" t="n">
        <f aca="false">IF(M44&lt;1000,0,N44/M44-1)</f>
        <v>-0.0651491475193641</v>
      </c>
    </row>
    <row r="45" customFormat="false" ht="15" hidden="false" customHeight="false" outlineLevel="0" collapsed="false">
      <c r="A45" s="25" t="n">
        <f aca="false">ROW()-5</f>
        <v>40</v>
      </c>
      <c r="B45" s="4" t="s">
        <v>348</v>
      </c>
      <c r="C45" s="4" t="s">
        <v>349</v>
      </c>
      <c r="D45" s="4" t="s">
        <v>78</v>
      </c>
      <c r="E45" s="4" t="s">
        <v>152</v>
      </c>
      <c r="F45" s="16" t="n">
        <v>1961051.33928571</v>
      </c>
      <c r="G45" s="14" t="n">
        <f aca="false">IF(SUMIFS(F$6:F$473,D$6:D$473,D45,E$6:E$473,E45)=0,0,F45/SUMIFS(F$6:F$473,D$6:D$473,D45,E$6:E$473,E45))</f>
        <v>0.0404599471424171</v>
      </c>
      <c r="H45" s="5" t="n">
        <f aca="false">SUMIFS(Pareto_Categories!$G$6:$G$84,Pareto_Categories!$B$6:$B$84,D45,Pareto_Categories!$C$6:$C$84,E45)</f>
        <v>175.162640843516</v>
      </c>
      <c r="I45" s="28" t="n">
        <f aca="false">G45*H45</f>
        <v>7.08707118985485</v>
      </c>
      <c r="J45" s="29" t="n">
        <f aca="false">I45/$I$475</f>
        <v>0.00612613034186364</v>
      </c>
      <c r="K45" s="14" t="n">
        <f aca="false">SUM(J$6:J45)</f>
        <v>0.571999700482049</v>
      </c>
      <c r="L45" s="4" t="str">
        <f aca="false">IF(I45&lt;=0,"-",IF(K45-J45&lt;0.8,"A - top 80%",IF(K45-J45&lt;0.95,"B - next 15%","C - tail")))</f>
        <v>A - top 80%</v>
      </c>
      <c r="M45" s="16" t="n">
        <v>3472891.07142857</v>
      </c>
      <c r="N45" s="16" t="n">
        <v>3879554.11607143</v>
      </c>
      <c r="O45" s="17" t="n">
        <f aca="false">N45-M45</f>
        <v>406663.044642857</v>
      </c>
      <c r="P45" s="14" t="n">
        <f aca="false">IF(M45&lt;1000,"new",R45)</f>
        <v>0.117096400744748</v>
      </c>
      <c r="Q45" s="4" t="str">
        <f aca="false">IF(LEFT(L45,1)="A",IF(R45&lt;-0.05,"2 FIX","1 PROTECT"),IF(AND(N45&gt;=300000,OR(P45="new",R45&gt;=0.25),LEFT(L45,1)&lt;&gt;"-"),"3 SCALE","4 MAINTAIN"))</f>
        <v>1 PROTECT</v>
      </c>
      <c r="R45" s="14" t="n">
        <f aca="false">IF(M45&lt;1000,0,N45/M45-1)</f>
        <v>0.117096400744748</v>
      </c>
    </row>
    <row r="46" customFormat="false" ht="15" hidden="false" customHeight="false" outlineLevel="0" collapsed="false">
      <c r="A46" s="25" t="n">
        <f aca="false">ROW()-5</f>
        <v>41</v>
      </c>
      <c r="B46" s="4" t="s">
        <v>350</v>
      </c>
      <c r="C46" s="4" t="s">
        <v>351</v>
      </c>
      <c r="D46" s="4" t="s">
        <v>78</v>
      </c>
      <c r="E46" s="4" t="s">
        <v>152</v>
      </c>
      <c r="F46" s="16" t="n">
        <v>1958320.53571429</v>
      </c>
      <c r="G46" s="14" t="n">
        <f aca="false">IF(SUMIFS(F$6:F$473,D$6:D$473,D46,E$6:E$473,E46)=0,0,F46/SUMIFS(F$6:F$473,D$6:D$473,D46,E$6:E$473,E46))</f>
        <v>0.0404036058493856</v>
      </c>
      <c r="H46" s="5" t="n">
        <f aca="false">SUMIFS(Pareto_Categories!$G$6:$G$84,Pareto_Categories!$B$6:$B$84,D46,Pareto_Categories!$C$6:$C$84,E46)</f>
        <v>175.162640843516</v>
      </c>
      <c r="I46" s="28" t="n">
        <f aca="false">G46*H46</f>
        <v>7.07720230017893</v>
      </c>
      <c r="J46" s="29" t="n">
        <f aca="false">I46/$I$475</f>
        <v>0.00611759958171399</v>
      </c>
      <c r="K46" s="14" t="n">
        <f aca="false">SUM(J$6:J46)</f>
        <v>0.578117300063763</v>
      </c>
      <c r="L46" s="4" t="str">
        <f aca="false">IF(I46&lt;=0,"-",IF(K46-J46&lt;0.8,"A - top 80%",IF(K46-J46&lt;0.95,"B - next 15%","C - tail")))</f>
        <v>A - top 80%</v>
      </c>
      <c r="M46" s="16" t="n">
        <v>3659041.07142857</v>
      </c>
      <c r="N46" s="16" t="n">
        <v>4098052.67857143</v>
      </c>
      <c r="O46" s="17" t="n">
        <f aca="false">N46-M46</f>
        <v>439011.607142857</v>
      </c>
      <c r="P46" s="14" t="n">
        <f aca="false">IF(M46&lt;1000,"new",R46)</f>
        <v>0.11997996157268</v>
      </c>
      <c r="Q46" s="4" t="str">
        <f aca="false">IF(LEFT(L46,1)="A",IF(R46&lt;-0.05,"2 FIX","1 PROTECT"),IF(AND(N46&gt;=300000,OR(P46="new",R46&gt;=0.25),LEFT(L46,1)&lt;&gt;"-"),"3 SCALE","4 MAINTAIN"))</f>
        <v>1 PROTECT</v>
      </c>
      <c r="R46" s="14" t="n">
        <f aca="false">IF(M46&lt;1000,0,N46/M46-1)</f>
        <v>0.11997996157268</v>
      </c>
    </row>
    <row r="47" customFormat="false" ht="15" hidden="false" customHeight="false" outlineLevel="0" collapsed="false">
      <c r="A47" s="25" t="n">
        <f aca="false">ROW()-5</f>
        <v>42</v>
      </c>
      <c r="B47" s="4" t="s">
        <v>352</v>
      </c>
      <c r="C47" s="4" t="s">
        <v>353</v>
      </c>
      <c r="D47" s="4" t="s">
        <v>78</v>
      </c>
      <c r="E47" s="4" t="s">
        <v>153</v>
      </c>
      <c r="F47" s="16" t="n">
        <v>1494598.21428571</v>
      </c>
      <c r="G47" s="14" t="n">
        <f aca="false">IF(SUMIFS(F$6:F$473,D$6:D$473,D47,E$6:E$473,E47)=0,0,F47/SUMIFS(F$6:F$473,D$6:D$473,D47,E$6:E$473,E47))</f>
        <v>0.0442662247343138</v>
      </c>
      <c r="H47" s="5" t="n">
        <f aca="false">SUMIFS(Pareto_Categories!$G$6:$G$84,Pareto_Categories!$B$6:$B$84,D47,Pareto_Categories!$C$6:$C$84,E47)</f>
        <v>152.006736079647</v>
      </c>
      <c r="I47" s="28" t="n">
        <f aca="false">G47*H47</f>
        <v>6.72876434043116</v>
      </c>
      <c r="J47" s="29" t="n">
        <f aca="false">I47/$I$475</f>
        <v>0.00581640656413524</v>
      </c>
      <c r="K47" s="14" t="n">
        <f aca="false">SUM(J$6:J47)</f>
        <v>0.583933706627899</v>
      </c>
      <c r="L47" s="4" t="str">
        <f aca="false">IF(I47&lt;=0,"-",IF(K47-J47&lt;0.8,"A - top 80%",IF(K47-J47&lt;0.95,"B - next 15%","C - tail")))</f>
        <v>A - top 80%</v>
      </c>
      <c r="M47" s="16" t="n">
        <v>2453191.57142857</v>
      </c>
      <c r="N47" s="16" t="n">
        <v>2766905.35714286</v>
      </c>
      <c r="O47" s="17" t="n">
        <f aca="false">N47-M47</f>
        <v>313713.785714286</v>
      </c>
      <c r="P47" s="14" t="n">
        <f aca="false">IF(M47&lt;1000,"new",R47)</f>
        <v>0.12787985633409</v>
      </c>
      <c r="Q47" s="4" t="str">
        <f aca="false">IF(LEFT(L47,1)="A",IF(R47&lt;-0.05,"2 FIX","1 PROTECT"),IF(AND(N47&gt;=300000,OR(P47="new",R47&gt;=0.25),LEFT(L47,1)&lt;&gt;"-"),"3 SCALE","4 MAINTAIN"))</f>
        <v>1 PROTECT</v>
      </c>
      <c r="R47" s="14" t="n">
        <f aca="false">IF(M47&lt;1000,0,N47/M47-1)</f>
        <v>0.12787985633409</v>
      </c>
    </row>
    <row r="48" customFormat="false" ht="15" hidden="false" customHeight="false" outlineLevel="0" collapsed="false">
      <c r="A48" s="25" t="n">
        <f aca="false">ROW()-5</f>
        <v>43</v>
      </c>
      <c r="B48" s="4" t="s">
        <v>354</v>
      </c>
      <c r="C48" s="4" t="s">
        <v>355</v>
      </c>
      <c r="D48" s="4" t="s">
        <v>78</v>
      </c>
      <c r="E48" s="4" t="s">
        <v>152</v>
      </c>
      <c r="F48" s="16" t="n">
        <v>1842323.29464286</v>
      </c>
      <c r="G48" s="14" t="n">
        <f aca="false">IF(SUMIFS(F$6:F$473,D$6:D$473,D48,E$6:E$473,E48)=0,0,F48/SUMIFS(F$6:F$473,D$6:D$473,D48,E$6:E$473,E48))</f>
        <v>0.0380103782227567</v>
      </c>
      <c r="H48" s="5" t="n">
        <f aca="false">SUMIFS(Pareto_Categories!$G$6:$G$84,Pareto_Categories!$B$6:$B$84,D48,Pareto_Categories!$C$6:$C$84,E48)</f>
        <v>175.162640843516</v>
      </c>
      <c r="I48" s="28" t="n">
        <f aca="false">G48*H48</f>
        <v>6.65799822895895</v>
      </c>
      <c r="J48" s="29" t="n">
        <f aca="false">I48/$I$475</f>
        <v>0.00575523567829932</v>
      </c>
      <c r="K48" s="14" t="n">
        <f aca="false">SUM(J$6:J48)</f>
        <v>0.589688942306198</v>
      </c>
      <c r="L48" s="4" t="str">
        <f aca="false">IF(I48&lt;=0,"-",IF(K48-J48&lt;0.8,"A - top 80%",IF(K48-J48&lt;0.95,"B - next 15%","C - tail")))</f>
        <v>A - top 80%</v>
      </c>
      <c r="M48" s="16" t="n">
        <v>3442616.07142857</v>
      </c>
      <c r="N48" s="16" t="n">
        <v>3791841.15178571</v>
      </c>
      <c r="O48" s="17" t="n">
        <f aca="false">N48-M48</f>
        <v>349225.080357143</v>
      </c>
      <c r="P48" s="14" t="n">
        <f aca="false">IF(M48&lt;1000,"new",R48)</f>
        <v>0.101441773671912</v>
      </c>
      <c r="Q48" s="4" t="str">
        <f aca="false">IF(LEFT(L48,1)="A",IF(R48&lt;-0.05,"2 FIX","1 PROTECT"),IF(AND(N48&gt;=300000,OR(P48="new",R48&gt;=0.25),LEFT(L48,1)&lt;&gt;"-"),"3 SCALE","4 MAINTAIN"))</f>
        <v>1 PROTECT</v>
      </c>
      <c r="R48" s="14" t="n">
        <f aca="false">IF(M48&lt;1000,0,N48/M48-1)</f>
        <v>0.101441773671912</v>
      </c>
    </row>
    <row r="49" customFormat="false" ht="15" hidden="false" customHeight="false" outlineLevel="0" collapsed="false">
      <c r="A49" s="25" t="n">
        <f aca="false">ROW()-5</f>
        <v>44</v>
      </c>
      <c r="B49" s="4" t="s">
        <v>356</v>
      </c>
      <c r="C49" s="4" t="s">
        <v>357</v>
      </c>
      <c r="D49" s="4" t="s">
        <v>78</v>
      </c>
      <c r="E49" s="4" t="s">
        <v>152</v>
      </c>
      <c r="F49" s="16" t="n">
        <v>1829657.625</v>
      </c>
      <c r="G49" s="14" t="n">
        <f aca="false">IF(SUMIFS(F$6:F$473,D$6:D$473,D49,E$6:E$473,E49)=0,0,F49/SUMIFS(F$6:F$473,D$6:D$473,D49,E$6:E$473,E49))</f>
        <v>0.0377490631240608</v>
      </c>
      <c r="H49" s="5" t="n">
        <f aca="false">SUMIFS(Pareto_Categories!$G$6:$G$84,Pareto_Categories!$B$6:$B$84,D49,Pareto_Categories!$C$6:$C$84,E49)</f>
        <v>175.162640843516</v>
      </c>
      <c r="I49" s="28" t="n">
        <f aca="false">G49*H49</f>
        <v>6.61222558617908</v>
      </c>
      <c r="J49" s="29" t="n">
        <f aca="false">I49/$I$475</f>
        <v>0.00571566937957743</v>
      </c>
      <c r="K49" s="14" t="n">
        <f aca="false">SUM(J$6:J49)</f>
        <v>0.595404611685775</v>
      </c>
      <c r="L49" s="4" t="str">
        <f aca="false">IF(I49&lt;=0,"-",IF(K49-J49&lt;0.8,"A - top 80%",IF(K49-J49&lt;0.95,"B - next 15%","C - tail")))</f>
        <v>A - top 80%</v>
      </c>
      <c r="M49" s="16" t="n">
        <v>4704368.75</v>
      </c>
      <c r="N49" s="16" t="n">
        <v>4227320.80357143</v>
      </c>
      <c r="O49" s="17" t="n">
        <f aca="false">N49-M49</f>
        <v>-477047.946428572</v>
      </c>
      <c r="P49" s="14" t="n">
        <f aca="false">IF(M49&lt;1000,"new",R49)</f>
        <v>-0.101405304681648</v>
      </c>
      <c r="Q49" s="4" t="str">
        <f aca="false">IF(LEFT(L49,1)="A",IF(R49&lt;-0.05,"2 FIX","1 PROTECT"),IF(AND(N49&gt;=300000,OR(P49="new",R49&gt;=0.25),LEFT(L49,1)&lt;&gt;"-"),"3 SCALE","4 MAINTAIN"))</f>
        <v>2 FIX</v>
      </c>
      <c r="R49" s="14" t="n">
        <f aca="false">IF(M49&lt;1000,0,N49/M49-1)</f>
        <v>-0.101405304681648</v>
      </c>
    </row>
    <row r="50" customFormat="false" ht="15" hidden="false" customHeight="false" outlineLevel="0" collapsed="false">
      <c r="A50" s="25" t="n">
        <f aca="false">ROW()-5</f>
        <v>45</v>
      </c>
      <c r="B50" s="4" t="s">
        <v>358</v>
      </c>
      <c r="C50" s="4" t="s">
        <v>359</v>
      </c>
      <c r="D50" s="4" t="s">
        <v>78</v>
      </c>
      <c r="E50" s="4" t="s">
        <v>152</v>
      </c>
      <c r="F50" s="16" t="n">
        <v>1821492.95535714</v>
      </c>
      <c r="G50" s="14" t="n">
        <f aca="false">IF(SUMIFS(F$6:F$473,D$6:D$473,D50,E$6:E$473,E50)=0,0,F50/SUMIFS(F$6:F$473,D$6:D$473,D50,E$6:E$473,E50))</f>
        <v>0.0375806115921872</v>
      </c>
      <c r="H50" s="5" t="n">
        <f aca="false">SUMIFS(Pareto_Categories!$G$6:$G$84,Pareto_Categories!$B$6:$B$84,D50,Pareto_Categories!$C$6:$C$84,E50)</f>
        <v>175.162640843516</v>
      </c>
      <c r="I50" s="28" t="n">
        <f aca="false">G50*H50</f>
        <v>6.58271917100198</v>
      </c>
      <c r="J50" s="29" t="n">
        <f aca="false">I50/$I$475</f>
        <v>0.0056901637594907</v>
      </c>
      <c r="K50" s="14" t="n">
        <f aca="false">SUM(J$6:J50)</f>
        <v>0.601094775445266</v>
      </c>
      <c r="L50" s="4" t="str">
        <f aca="false">IF(I50&lt;=0,"-",IF(K50-J50&lt;0.8,"A - top 80%",IF(K50-J50&lt;0.95,"B - next 15%","C - tail")))</f>
        <v>A - top 80%</v>
      </c>
      <c r="M50" s="16" t="n">
        <v>4346575.0625</v>
      </c>
      <c r="N50" s="16" t="n">
        <v>4269271.52678572</v>
      </c>
      <c r="O50" s="17" t="n">
        <f aca="false">N50-M50</f>
        <v>-77303.5357142845</v>
      </c>
      <c r="P50" s="14" t="n">
        <f aca="false">IF(M50&lt;1000,"new",R50)</f>
        <v>-0.0177849305723993</v>
      </c>
      <c r="Q50" s="4" t="str">
        <f aca="false">IF(LEFT(L50,1)="A",IF(R50&lt;-0.05,"2 FIX","1 PROTECT"),IF(AND(N50&gt;=300000,OR(P50="new",R50&gt;=0.25),LEFT(L50,1)&lt;&gt;"-"),"3 SCALE","4 MAINTAIN"))</f>
        <v>1 PROTECT</v>
      </c>
      <c r="R50" s="14" t="n">
        <f aca="false">IF(M50&lt;1000,0,N50/M50-1)</f>
        <v>-0.0177849305723993</v>
      </c>
    </row>
    <row r="51" customFormat="false" ht="15" hidden="false" customHeight="false" outlineLevel="0" collapsed="false">
      <c r="A51" s="25" t="n">
        <f aca="false">ROW()-5</f>
        <v>46</v>
      </c>
      <c r="B51" s="4" t="s">
        <v>342</v>
      </c>
      <c r="C51" s="4" t="s">
        <v>343</v>
      </c>
      <c r="D51" s="4" t="s">
        <v>78</v>
      </c>
      <c r="E51" s="4" t="s">
        <v>152</v>
      </c>
      <c r="F51" s="16" t="n">
        <v>1789025</v>
      </c>
      <c r="G51" s="14" t="n">
        <f aca="false">IF(SUMIFS(F$6:F$473,D$6:D$473,D51,E$6:E$473,E51)=0,0,F51/SUMIFS(F$6:F$473,D$6:D$473,D51,E$6:E$473,E51))</f>
        <v>0.036910740420915</v>
      </c>
      <c r="H51" s="5" t="n">
        <f aca="false">SUMIFS(Pareto_Categories!$G$6:$G$84,Pareto_Categories!$B$6:$B$84,D51,Pareto_Categories!$C$6:$C$84,E51)</f>
        <v>175.162640843516</v>
      </c>
      <c r="I51" s="28" t="n">
        <f aca="false">G51*H51</f>
        <v>6.46538276761699</v>
      </c>
      <c r="J51" s="29" t="n">
        <f aca="false">I51/$I$475</f>
        <v>0.00558873707959352</v>
      </c>
      <c r="K51" s="14" t="n">
        <f aca="false">SUM(J$6:J51)</f>
        <v>0.606683512524859</v>
      </c>
      <c r="L51" s="4" t="str">
        <f aca="false">IF(I51&lt;=0,"-",IF(K51-J51&lt;0.8,"A - top 80%",IF(K51-J51&lt;0.95,"B - next 15%","C - tail")))</f>
        <v>A - top 80%</v>
      </c>
      <c r="M51" s="16" t="n">
        <v>3905698.47321429</v>
      </c>
      <c r="N51" s="16" t="n">
        <v>3917557.14285714</v>
      </c>
      <c r="O51" s="17" t="n">
        <f aca="false">N51-M51</f>
        <v>11858.6696428582</v>
      </c>
      <c r="P51" s="14" t="n">
        <f aca="false">IF(M51&lt;1000,"new",R51)</f>
        <v>0.00303624811904624</v>
      </c>
      <c r="Q51" s="4" t="str">
        <f aca="false">IF(LEFT(L51,1)="A",IF(R51&lt;-0.05,"2 FIX","1 PROTECT"),IF(AND(N51&gt;=300000,OR(P51="new",R51&gt;=0.25),LEFT(L51,1)&lt;&gt;"-"),"3 SCALE","4 MAINTAIN"))</f>
        <v>1 PROTECT</v>
      </c>
      <c r="R51" s="14" t="n">
        <f aca="false">IF(M51&lt;1000,0,N51/M51-1)</f>
        <v>0.00303624811904624</v>
      </c>
    </row>
    <row r="52" customFormat="false" ht="15" hidden="false" customHeight="false" outlineLevel="0" collapsed="false">
      <c r="A52" s="25" t="n">
        <f aca="false">ROW()-5</f>
        <v>47</v>
      </c>
      <c r="B52" s="4" t="s">
        <v>360</v>
      </c>
      <c r="C52" s="4" t="s">
        <v>361</v>
      </c>
      <c r="D52" s="4" t="s">
        <v>78</v>
      </c>
      <c r="E52" s="4" t="s">
        <v>152</v>
      </c>
      <c r="F52" s="16" t="n">
        <v>1758377.67857143</v>
      </c>
      <c r="G52" s="14" t="n">
        <f aca="false">IF(SUMIFS(F$6:F$473,D$6:D$473,D52,E$6:E$473,E52)=0,0,F52/SUMIFS(F$6:F$473,D$6:D$473,D52,E$6:E$473,E52))</f>
        <v>0.0362784321379975</v>
      </c>
      <c r="H52" s="5" t="n">
        <f aca="false">SUMIFS(Pareto_Categories!$G$6:$G$84,Pareto_Categories!$B$6:$B$84,D52,Pareto_Categories!$C$6:$C$84,E52)</f>
        <v>175.162640843516</v>
      </c>
      <c r="I52" s="28" t="n">
        <f aca="false">G52*H52</f>
        <v>6.35462597895394</v>
      </c>
      <c r="J52" s="29" t="n">
        <f aca="false">I52/$I$475</f>
        <v>0.00549299787994115</v>
      </c>
      <c r="K52" s="14" t="n">
        <f aca="false">SUM(J$6:J52)</f>
        <v>0.612176510404801</v>
      </c>
      <c r="L52" s="4" t="str">
        <f aca="false">IF(I52&lt;=0,"-",IF(K52-J52&lt;0.8,"A - top 80%",IF(K52-J52&lt;0.95,"B - next 15%","C - tail")))</f>
        <v>A - top 80%</v>
      </c>
      <c r="M52" s="16" t="n">
        <v>3632542.85714286</v>
      </c>
      <c r="N52" s="16" t="n">
        <v>3627677.67857143</v>
      </c>
      <c r="O52" s="17" t="n">
        <f aca="false">N52-M52</f>
        <v>-4865.17857142864</v>
      </c>
      <c r="P52" s="14" t="n">
        <f aca="false">IF(M52&lt;1000,"new",R52)</f>
        <v>-0.00133933136173792</v>
      </c>
      <c r="Q52" s="4" t="str">
        <f aca="false">IF(LEFT(L52,1)="A",IF(R52&lt;-0.05,"2 FIX","1 PROTECT"),IF(AND(N52&gt;=300000,OR(P52="new",R52&gt;=0.25),LEFT(L52,1)&lt;&gt;"-"),"3 SCALE","4 MAINTAIN"))</f>
        <v>1 PROTECT</v>
      </c>
      <c r="R52" s="14" t="n">
        <f aca="false">IF(M52&lt;1000,0,N52/M52-1)</f>
        <v>-0.00133933136173792</v>
      </c>
    </row>
    <row r="53" customFormat="false" ht="15" hidden="false" customHeight="false" outlineLevel="0" collapsed="false">
      <c r="A53" s="25" t="n">
        <f aca="false">ROW()-5</f>
        <v>48</v>
      </c>
      <c r="B53" s="4" t="s">
        <v>362</v>
      </c>
      <c r="C53" s="4" t="s">
        <v>363</v>
      </c>
      <c r="D53" s="4" t="s">
        <v>78</v>
      </c>
      <c r="E53" s="4" t="s">
        <v>165</v>
      </c>
      <c r="F53" s="16" t="n">
        <v>1324186.11607143</v>
      </c>
      <c r="G53" s="14" t="n">
        <f aca="false">IF(SUMIFS(F$6:F$473,D$6:D$473,D53,E$6:E$473,E53)=0,0,F53/SUMIFS(F$6:F$473,D$6:D$473,D53,E$6:E$473,E53))</f>
        <v>0.376043500633071</v>
      </c>
      <c r="H53" s="5" t="n">
        <f aca="false">SUMIFS(Pareto_Categories!$G$6:$G$84,Pareto_Categories!$B$6:$B$84,D53,Pareto_Categories!$C$6:$C$84,E53)</f>
        <v>16.2037922025372</v>
      </c>
      <c r="I53" s="28" t="n">
        <f aca="false">G53*H53</f>
        <v>6.09333074337293</v>
      </c>
      <c r="J53" s="29" t="n">
        <f aca="false">I53/$I$475</f>
        <v>0.00526713184473486</v>
      </c>
      <c r="K53" s="14" t="n">
        <f aca="false">SUM(J$6:J53)</f>
        <v>0.617443642249535</v>
      </c>
      <c r="L53" s="4" t="str">
        <f aca="false">IF(I53&lt;=0,"-",IF(K53-J53&lt;0.8,"A - top 80%",IF(K53-J53&lt;0.95,"B - next 15%","C - tail")))</f>
        <v>A - top 80%</v>
      </c>
      <c r="M53" s="16" t="n">
        <v>2643930.35714286</v>
      </c>
      <c r="N53" s="16" t="n">
        <v>3037506.65178571</v>
      </c>
      <c r="O53" s="17" t="n">
        <f aca="false">N53-M53</f>
        <v>393576.294642857</v>
      </c>
      <c r="P53" s="14" t="n">
        <f aca="false">IF(M53&lt;1000,"new",R53)</f>
        <v>0.148860310779204</v>
      </c>
      <c r="Q53" s="4" t="str">
        <f aca="false">IF(LEFT(L53,1)="A",IF(R53&lt;-0.05,"2 FIX","1 PROTECT"),IF(AND(N53&gt;=300000,OR(P53="new",R53&gt;=0.25),LEFT(L53,1)&lt;&gt;"-"),"3 SCALE","4 MAINTAIN"))</f>
        <v>1 PROTECT</v>
      </c>
      <c r="R53" s="14" t="n">
        <f aca="false">IF(M53&lt;1000,0,N53/M53-1)</f>
        <v>0.148860310779204</v>
      </c>
    </row>
    <row r="54" customFormat="false" ht="15" hidden="false" customHeight="false" outlineLevel="0" collapsed="false">
      <c r="A54" s="25" t="n">
        <f aca="false">ROW()-5</f>
        <v>49</v>
      </c>
      <c r="B54" s="4" t="s">
        <v>364</v>
      </c>
      <c r="C54" s="4" t="s">
        <v>365</v>
      </c>
      <c r="D54" s="4" t="s">
        <v>78</v>
      </c>
      <c r="E54" s="4" t="s">
        <v>158</v>
      </c>
      <c r="F54" s="16" t="n">
        <v>2255123.21428571</v>
      </c>
      <c r="G54" s="14" t="n">
        <f aca="false">IF(SUMIFS(F$6:F$473,D$6:D$473,D54,E$6:E$473,E54)=0,0,F54/SUMIFS(F$6:F$473,D$6:D$473,D54,E$6:E$473,E54))</f>
        <v>0.182865454535303</v>
      </c>
      <c r="H54" s="5" t="n">
        <f aca="false">SUMIFS(Pareto_Categories!$G$6:$G$84,Pareto_Categories!$B$6:$B$84,D54,Pareto_Categories!$C$6:$C$84,E54)</f>
        <v>33.2897401825497</v>
      </c>
      <c r="I54" s="28" t="n">
        <f aca="false">G54*H54</f>
        <v>6.08754346984409</v>
      </c>
      <c r="J54" s="29" t="n">
        <f aca="false">I54/$I$475</f>
        <v>0.00526212927159683</v>
      </c>
      <c r="K54" s="14" t="n">
        <f aca="false">SUM(J$6:J54)</f>
        <v>0.622705771521132</v>
      </c>
      <c r="L54" s="4" t="str">
        <f aca="false">IF(I54&lt;=0,"-",IF(K54-J54&lt;0.8,"A - top 80%",IF(K54-J54&lt;0.95,"B - next 15%","C - tail")))</f>
        <v>A - top 80%</v>
      </c>
      <c r="M54" s="16" t="n">
        <v>4648568.92857143</v>
      </c>
      <c r="N54" s="16" t="n">
        <v>4936717.375</v>
      </c>
      <c r="O54" s="17" t="n">
        <f aca="false">N54-M54</f>
        <v>288148.446428572</v>
      </c>
      <c r="P54" s="14" t="n">
        <f aca="false">IF(M54&lt;1000,"new",R54)</f>
        <v>0.0619864846270277</v>
      </c>
      <c r="Q54" s="4" t="str">
        <f aca="false">IF(LEFT(L54,1)="A",IF(R54&lt;-0.05,"2 FIX","1 PROTECT"),IF(AND(N54&gt;=300000,OR(P54="new",R54&gt;=0.25),LEFT(L54,1)&lt;&gt;"-"),"3 SCALE","4 MAINTAIN"))</f>
        <v>1 PROTECT</v>
      </c>
      <c r="R54" s="14" t="n">
        <f aca="false">IF(M54&lt;1000,0,N54/M54-1)</f>
        <v>0.0619864846270277</v>
      </c>
    </row>
    <row r="55" customFormat="false" ht="15" hidden="false" customHeight="false" outlineLevel="0" collapsed="false">
      <c r="A55" s="25" t="n">
        <f aca="false">ROW()-5</f>
        <v>50</v>
      </c>
      <c r="B55" s="4" t="s">
        <v>310</v>
      </c>
      <c r="C55" s="4" t="s">
        <v>311</v>
      </c>
      <c r="D55" s="4" t="s">
        <v>78</v>
      </c>
      <c r="E55" s="4" t="s">
        <v>156</v>
      </c>
      <c r="F55" s="16" t="n">
        <v>2097980.42857143</v>
      </c>
      <c r="G55" s="14" t="n">
        <f aca="false">IF(SUMIFS(F$6:F$473,D$6:D$473,D55,E$6:E$473,E55)=0,0,F55/SUMIFS(F$6:F$473,D$6:D$473,D55,E$6:E$473,E55))</f>
        <v>0.116494293288568</v>
      </c>
      <c r="H55" s="5" t="n">
        <f aca="false">SUMIFS(Pareto_Categories!$G$6:$G$84,Pareto_Categories!$B$6:$B$84,D55,Pareto_Categories!$C$6:$C$84,E55)</f>
        <v>51.0983233945647</v>
      </c>
      <c r="I55" s="28" t="n">
        <f aca="false">G55*H55</f>
        <v>5.9526630720805</v>
      </c>
      <c r="J55" s="29" t="n">
        <f aca="false">I55/$I$475</f>
        <v>0.00514553739956301</v>
      </c>
      <c r="K55" s="14" t="n">
        <f aca="false">SUM(J$6:J55)</f>
        <v>0.627851308920695</v>
      </c>
      <c r="L55" s="4" t="str">
        <f aca="false">IF(I55&lt;=0,"-",IF(K55-J55&lt;0.8,"A - top 80%",IF(K55-J55&lt;0.95,"B - next 15%","C - tail")))</f>
        <v>A - top 80%</v>
      </c>
      <c r="M55" s="16" t="n">
        <v>4836618.26785714</v>
      </c>
      <c r="N55" s="16" t="n">
        <v>4420921.42857143</v>
      </c>
      <c r="O55" s="17" t="n">
        <f aca="false">N55-M55</f>
        <v>-415696.839285714</v>
      </c>
      <c r="P55" s="14" t="n">
        <f aca="false">IF(M55&lt;1000,"new",R55)</f>
        <v>-0.0859478288886932</v>
      </c>
      <c r="Q55" s="4" t="str">
        <f aca="false">IF(LEFT(L55,1)="A",IF(R55&lt;-0.05,"2 FIX","1 PROTECT"),IF(AND(N55&gt;=300000,OR(P55="new",R55&gt;=0.25),LEFT(L55,1)&lt;&gt;"-"),"3 SCALE","4 MAINTAIN"))</f>
        <v>2 FIX</v>
      </c>
      <c r="R55" s="14" t="n">
        <f aca="false">IF(M55&lt;1000,0,N55/M55-1)</f>
        <v>-0.0859478288886932</v>
      </c>
    </row>
    <row r="56" customFormat="false" ht="15" hidden="false" customHeight="false" outlineLevel="0" collapsed="false">
      <c r="A56" s="25" t="n">
        <f aca="false">ROW()-5</f>
        <v>51</v>
      </c>
      <c r="B56" s="4" t="s">
        <v>366</v>
      </c>
      <c r="C56" s="4" t="s">
        <v>367</v>
      </c>
      <c r="D56" s="4" t="s">
        <v>83</v>
      </c>
      <c r="E56" s="4" t="s">
        <v>152</v>
      </c>
      <c r="F56" s="16" t="n">
        <v>36180.3571428571</v>
      </c>
      <c r="G56" s="14" t="n">
        <f aca="false">IF(SUMIFS(F$6:F$473,D$6:D$473,D56,E$6:E$473,E56)=0,0,F56/SUMIFS(F$6:F$473,D$6:D$473,D56,E$6:E$473,E56))</f>
        <v>0.903903635958064</v>
      </c>
      <c r="H56" s="5" t="n">
        <f aca="false">SUMIFS(Pareto_Categories!$G$6:$G$84,Pareto_Categories!$B$6:$B$84,D56,Pareto_Categories!$C$6:$C$84,E56)</f>
        <v>6.49945641033809</v>
      </c>
      <c r="I56" s="28" t="n">
        <f aca="false">G56*H56</f>
        <v>5.87488228105555</v>
      </c>
      <c r="J56" s="29" t="n">
        <f aca="false">I56/$I$475</f>
        <v>0.00507830295939056</v>
      </c>
      <c r="K56" s="14" t="n">
        <f aca="false">SUM(J$6:J56)</f>
        <v>0.632929611880086</v>
      </c>
      <c r="L56" s="4" t="str">
        <f aca="false">IF(I56&lt;=0,"-",IF(K56-J56&lt;0.8,"A - top 80%",IF(K56-J56&lt;0.95,"B - next 15%","C - tail")))</f>
        <v>A - top 80%</v>
      </c>
      <c r="M56" s="16" t="n">
        <v>93162.5</v>
      </c>
      <c r="N56" s="16" t="n">
        <v>75910.7142857143</v>
      </c>
      <c r="O56" s="17" t="n">
        <f aca="false">N56-M56</f>
        <v>-17251.7857142857</v>
      </c>
      <c r="P56" s="14" t="n">
        <f aca="false">IF(M56&lt;1000,"new",R56)</f>
        <v>-0.185179505855744</v>
      </c>
      <c r="Q56" s="4" t="str">
        <f aca="false">IF(LEFT(L56,1)="A",IF(R56&lt;-0.05,"2 FIX","1 PROTECT"),IF(AND(N56&gt;=300000,OR(P56="new",R56&gt;=0.25),LEFT(L56,1)&lt;&gt;"-"),"3 SCALE","4 MAINTAIN"))</f>
        <v>2 FIX</v>
      </c>
      <c r="R56" s="14" t="n">
        <f aca="false">IF(M56&lt;1000,0,N56/M56-1)</f>
        <v>-0.185179505855744</v>
      </c>
    </row>
    <row r="57" customFormat="false" ht="15" hidden="false" customHeight="false" outlineLevel="0" collapsed="false">
      <c r="A57" s="25" t="n">
        <f aca="false">ROW()-5</f>
        <v>52</v>
      </c>
      <c r="B57" s="4" t="s">
        <v>368</v>
      </c>
      <c r="C57" s="4" t="s">
        <v>369</v>
      </c>
      <c r="D57" s="4" t="s">
        <v>78</v>
      </c>
      <c r="E57" s="4" t="s">
        <v>153</v>
      </c>
      <c r="F57" s="16" t="n">
        <v>1268320.05357143</v>
      </c>
      <c r="G57" s="14" t="n">
        <f aca="false">IF(SUMIFS(F$6:F$473,D$6:D$473,D57,E$6:E$473,E57)=0,0,F57/SUMIFS(F$6:F$473,D$6:D$473,D57,E$6:E$473,E57))</f>
        <v>0.037564437043879</v>
      </c>
      <c r="H57" s="5" t="n">
        <f aca="false">SUMIFS(Pareto_Categories!$G$6:$G$84,Pareto_Categories!$B$6:$B$84,D57,Pareto_Categories!$C$6:$C$84,E57)</f>
        <v>152.006736079647</v>
      </c>
      <c r="I57" s="28" t="n">
        <f aca="false">G57*H57</f>
        <v>5.71004746770942</v>
      </c>
      <c r="J57" s="29" t="n">
        <f aca="false">I57/$I$475</f>
        <v>0.0049358182115471</v>
      </c>
      <c r="K57" s="14" t="n">
        <f aca="false">SUM(J$6:J57)</f>
        <v>0.637865430091633</v>
      </c>
      <c r="L57" s="4" t="str">
        <f aca="false">IF(I57&lt;=0,"-",IF(K57-J57&lt;0.8,"A - top 80%",IF(K57-J57&lt;0.95,"B - next 15%","C - tail")))</f>
        <v>A - top 80%</v>
      </c>
      <c r="M57" s="16" t="n">
        <v>2260844.64285714</v>
      </c>
      <c r="N57" s="16" t="n">
        <v>2427275.41071429</v>
      </c>
      <c r="O57" s="17" t="n">
        <f aca="false">N57-M57</f>
        <v>166430.767857142</v>
      </c>
      <c r="P57" s="14" t="n">
        <f aca="false">IF(M57&lt;1000,"new",R57)</f>
        <v>0.0736144203375313</v>
      </c>
      <c r="Q57" s="4" t="str">
        <f aca="false">IF(LEFT(L57,1)="A",IF(R57&lt;-0.05,"2 FIX","1 PROTECT"),IF(AND(N57&gt;=300000,OR(P57="new",R57&gt;=0.25),LEFT(L57,1)&lt;&gt;"-"),"3 SCALE","4 MAINTAIN"))</f>
        <v>1 PROTECT</v>
      </c>
      <c r="R57" s="14" t="n">
        <f aca="false">IF(M57&lt;1000,0,N57/M57-1)</f>
        <v>0.0736144203375313</v>
      </c>
    </row>
    <row r="58" customFormat="false" ht="15" hidden="false" customHeight="false" outlineLevel="0" collapsed="false">
      <c r="A58" s="25" t="n">
        <f aca="false">ROW()-5</f>
        <v>53</v>
      </c>
      <c r="B58" s="4" t="s">
        <v>370</v>
      </c>
      <c r="C58" s="4" t="s">
        <v>371</v>
      </c>
      <c r="D58" s="4" t="s">
        <v>78</v>
      </c>
      <c r="E58" s="4" t="s">
        <v>161</v>
      </c>
      <c r="F58" s="16" t="n">
        <v>1628434.89285714</v>
      </c>
      <c r="G58" s="14" t="n">
        <f aca="false">IF(SUMIFS(F$6:F$473,D$6:D$473,D58,E$6:E$473,E58)=0,0,F58/SUMIFS(F$6:F$473,D$6:D$473,D58,E$6:E$473,E58))</f>
        <v>0.242821916500484</v>
      </c>
      <c r="H58" s="5" t="n">
        <f aca="false">SUMIFS(Pareto_Categories!$G$6:$G$84,Pareto_Categories!$B$6:$B$84,D58,Pareto_Categories!$C$6:$C$84,E58)</f>
        <v>23.2065327013405</v>
      </c>
      <c r="I58" s="28" t="n">
        <f aca="false">G58*H58</f>
        <v>5.63505474587064</v>
      </c>
      <c r="J58" s="29" t="n">
        <f aca="false">I58/$I$475</f>
        <v>0.00487099380434584</v>
      </c>
      <c r="K58" s="14" t="n">
        <f aca="false">SUM(J$6:J58)</f>
        <v>0.642736423895979</v>
      </c>
      <c r="L58" s="4" t="str">
        <f aca="false">IF(I58&lt;=0,"-",IF(K58-J58&lt;0.8,"A - top 80%",IF(K58-J58&lt;0.95,"B - next 15%","C - tail")))</f>
        <v>A - top 80%</v>
      </c>
      <c r="M58" s="16" t="n">
        <v>2290169.90178571</v>
      </c>
      <c r="N58" s="16" t="n">
        <v>3247693.05357143</v>
      </c>
      <c r="O58" s="17" t="n">
        <f aca="false">N58-M58</f>
        <v>957523.151785714</v>
      </c>
      <c r="P58" s="14" t="n">
        <f aca="false">IF(M58&lt;1000,"new",R58)</f>
        <v>0.418101360531856</v>
      </c>
      <c r="Q58" s="4" t="str">
        <f aca="false">IF(LEFT(L58,1)="A",IF(R58&lt;-0.05,"2 FIX","1 PROTECT"),IF(AND(N58&gt;=300000,OR(P58="new",R58&gt;=0.25),LEFT(L58,1)&lt;&gt;"-"),"3 SCALE","4 MAINTAIN"))</f>
        <v>1 PROTECT</v>
      </c>
      <c r="R58" s="14" t="n">
        <f aca="false">IF(M58&lt;1000,0,N58/M58-1)</f>
        <v>0.418101360531856</v>
      </c>
    </row>
    <row r="59" customFormat="false" ht="15" hidden="false" customHeight="false" outlineLevel="0" collapsed="false">
      <c r="A59" s="25" t="n">
        <f aca="false">ROW()-5</f>
        <v>54</v>
      </c>
      <c r="B59" s="4" t="s">
        <v>372</v>
      </c>
      <c r="C59" s="4" t="s">
        <v>373</v>
      </c>
      <c r="D59" s="4" t="s">
        <v>78</v>
      </c>
      <c r="E59" s="4" t="s">
        <v>153</v>
      </c>
      <c r="F59" s="16" t="n">
        <v>1240096.30357143</v>
      </c>
      <c r="G59" s="14" t="n">
        <f aca="false">IF(SUMIFS(F$6:F$473,D$6:D$473,D59,E$6:E$473,E59)=0,0,F59/SUMIFS(F$6:F$473,D$6:D$473,D59,E$6:E$473,E59))</f>
        <v>0.0367285208435227</v>
      </c>
      <c r="H59" s="5" t="n">
        <f aca="false">SUMIFS(Pareto_Categories!$G$6:$G$84,Pareto_Categories!$B$6:$B$84,D59,Pareto_Categories!$C$6:$C$84,E59)</f>
        <v>152.006736079647</v>
      </c>
      <c r="I59" s="28" t="n">
        <f aca="false">G59*H59</f>
        <v>5.58298257445716</v>
      </c>
      <c r="J59" s="29" t="n">
        <f aca="false">I59/$I$475</f>
        <v>0.00482598213440248</v>
      </c>
      <c r="K59" s="14" t="n">
        <f aca="false">SUM(J$6:J59)</f>
        <v>0.647562406030381</v>
      </c>
      <c r="L59" s="4" t="str">
        <f aca="false">IF(I59&lt;=0,"-",IF(K59-J59&lt;0.8,"A - top 80%",IF(K59-J59&lt;0.95,"B - next 15%","C - tail")))</f>
        <v>A - top 80%</v>
      </c>
      <c r="M59" s="16" t="n">
        <v>2122528.83928571</v>
      </c>
      <c r="N59" s="16" t="n">
        <v>2462118.625</v>
      </c>
      <c r="O59" s="17" t="n">
        <f aca="false">N59-M59</f>
        <v>339589.785714286</v>
      </c>
      <c r="P59" s="14" t="n">
        <f aca="false">IF(M59&lt;1000,"new",R59)</f>
        <v>0.159993013724406</v>
      </c>
      <c r="Q59" s="4" t="str">
        <f aca="false">IF(LEFT(L59,1)="A",IF(R59&lt;-0.05,"2 FIX","1 PROTECT"),IF(AND(N59&gt;=300000,OR(P59="new",R59&gt;=0.25),LEFT(L59,1)&lt;&gt;"-"),"3 SCALE","4 MAINTAIN"))</f>
        <v>1 PROTECT</v>
      </c>
      <c r="R59" s="14" t="n">
        <f aca="false">IF(M59&lt;1000,0,N59/M59-1)</f>
        <v>0.159993013724406</v>
      </c>
    </row>
    <row r="60" customFormat="false" ht="15" hidden="false" customHeight="false" outlineLevel="0" collapsed="false">
      <c r="A60" s="25" t="n">
        <f aca="false">ROW()-5</f>
        <v>55</v>
      </c>
      <c r="B60" s="4" t="s">
        <v>308</v>
      </c>
      <c r="C60" s="4" t="s">
        <v>309</v>
      </c>
      <c r="D60" s="4" t="s">
        <v>83</v>
      </c>
      <c r="E60" s="4" t="s">
        <v>223</v>
      </c>
      <c r="F60" s="16" t="n">
        <v>1832842.85714286</v>
      </c>
      <c r="G60" s="14" t="n">
        <f aca="false">IF(SUMIFS(F$6:F$473,D$6:D$473,D60,E$6:E$473,E60)=0,0,F60/SUMIFS(F$6:F$473,D$6:D$473,D60,E$6:E$473,E60))</f>
        <v>0.558893946792686</v>
      </c>
      <c r="H60" s="5" t="n">
        <f aca="false">SUMIFS(Pareto_Categories!$G$6:$G$84,Pareto_Categories!$B$6:$B$84,D60,Pareto_Categories!$C$6:$C$84,E60)</f>
        <v>9.64323654379639</v>
      </c>
      <c r="I60" s="28" t="n">
        <f aca="false">G60*H60</f>
        <v>5.38954653181782</v>
      </c>
      <c r="J60" s="29" t="n">
        <f aca="false">I60/$I$475</f>
        <v>0.00465877421758075</v>
      </c>
      <c r="K60" s="14" t="n">
        <f aca="false">SUM(J$6:J60)</f>
        <v>0.652221180247962</v>
      </c>
      <c r="L60" s="4" t="str">
        <f aca="false">IF(I60&lt;=0,"-",IF(K60-J60&lt;0.8,"A - top 80%",IF(K60-J60&lt;0.95,"B - next 15%","C - tail")))</f>
        <v>A - top 80%</v>
      </c>
      <c r="M60" s="16" t="n">
        <v>4071866.71428571</v>
      </c>
      <c r="N60" s="16" t="n">
        <v>3770320.53571429</v>
      </c>
      <c r="O60" s="17" t="n">
        <f aca="false">N60-M60</f>
        <v>-301546.178571429</v>
      </c>
      <c r="P60" s="14" t="n">
        <f aca="false">IF(M60&lt;1000,"new",R60)</f>
        <v>-0.0740560042187742</v>
      </c>
      <c r="Q60" s="4" t="str">
        <f aca="false">IF(LEFT(L60,1)="A",IF(R60&lt;-0.05,"2 FIX","1 PROTECT"),IF(AND(N60&gt;=300000,OR(P60="new",R60&gt;=0.25),LEFT(L60,1)&lt;&gt;"-"),"3 SCALE","4 MAINTAIN"))</f>
        <v>2 FIX</v>
      </c>
      <c r="R60" s="14" t="n">
        <f aca="false">IF(M60&lt;1000,0,N60/M60-1)</f>
        <v>-0.0740560042187742</v>
      </c>
    </row>
    <row r="61" customFormat="false" ht="15" hidden="false" customHeight="false" outlineLevel="0" collapsed="false">
      <c r="A61" s="25" t="n">
        <f aca="false">ROW()-5</f>
        <v>56</v>
      </c>
      <c r="B61" s="4" t="s">
        <v>280</v>
      </c>
      <c r="C61" s="4" t="s">
        <v>281</v>
      </c>
      <c r="D61" s="4" t="s">
        <v>78</v>
      </c>
      <c r="E61" s="4" t="s">
        <v>155</v>
      </c>
      <c r="F61" s="16" t="n">
        <v>1730366.07142857</v>
      </c>
      <c r="G61" s="14" t="n">
        <f aca="false">IF(SUMIFS(F$6:F$473,D$6:D$473,D61,E$6:E$473,E61)=0,0,F61/SUMIFS(F$6:F$473,D$6:D$473,D61,E$6:E$473,E61))</f>
        <v>0.0659481730594221</v>
      </c>
      <c r="H61" s="5" t="n">
        <f aca="false">SUMIFS(Pareto_Categories!$G$6:$G$84,Pareto_Categories!$B$6:$B$84,D61,Pareto_Categories!$C$6:$C$84,E61)</f>
        <v>80.8950655838976</v>
      </c>
      <c r="I61" s="28" t="n">
        <f aca="false">G61*H61</f>
        <v>5.33488178478018</v>
      </c>
      <c r="J61" s="29" t="n">
        <f aca="false">I61/$I$475</f>
        <v>0.00461152150112194</v>
      </c>
      <c r="K61" s="14" t="n">
        <f aca="false">SUM(J$6:J61)</f>
        <v>0.656832701749084</v>
      </c>
      <c r="L61" s="4" t="str">
        <f aca="false">IF(I61&lt;=0,"-",IF(K61-J61&lt;0.8,"A - top 80%",IF(K61-J61&lt;0.95,"B - next 15%","C - tail")))</f>
        <v>A - top 80%</v>
      </c>
      <c r="M61" s="16" t="n">
        <v>3837472.73214286</v>
      </c>
      <c r="N61" s="16" t="n">
        <v>3602338.39285714</v>
      </c>
      <c r="O61" s="17" t="n">
        <f aca="false">N61-M61</f>
        <v>-235134.339285714</v>
      </c>
      <c r="P61" s="14" t="n">
        <f aca="false">IF(M61&lt;1000,"new",R61)</f>
        <v>-0.0612732273811921</v>
      </c>
      <c r="Q61" s="4" t="str">
        <f aca="false">IF(LEFT(L61,1)="A",IF(R61&lt;-0.05,"2 FIX","1 PROTECT"),IF(AND(N61&gt;=300000,OR(P61="new",R61&gt;=0.25),LEFT(L61,1)&lt;&gt;"-"),"3 SCALE","4 MAINTAIN"))</f>
        <v>2 FIX</v>
      </c>
      <c r="R61" s="14" t="n">
        <f aca="false">IF(M61&lt;1000,0,N61/M61-1)</f>
        <v>-0.0612732273811921</v>
      </c>
    </row>
    <row r="62" customFormat="false" ht="15" hidden="false" customHeight="false" outlineLevel="0" collapsed="false">
      <c r="A62" s="25" t="n">
        <f aca="false">ROW()-5</f>
        <v>57</v>
      </c>
      <c r="B62" s="4" t="s">
        <v>374</v>
      </c>
      <c r="C62" s="4" t="s">
        <v>375</v>
      </c>
      <c r="D62" s="4" t="s">
        <v>78</v>
      </c>
      <c r="E62" s="4" t="s">
        <v>152</v>
      </c>
      <c r="F62" s="16" t="n">
        <v>1466990.17857143</v>
      </c>
      <c r="G62" s="14" t="n">
        <f aca="false">IF(SUMIFS(F$6:F$473,D$6:D$473,D62,E$6:E$473,E62)=0,0,F62/SUMIFS(F$6:F$473,D$6:D$473,D62,E$6:E$473,E62))</f>
        <v>0.0302665941958786</v>
      </c>
      <c r="H62" s="5" t="n">
        <f aca="false">SUMIFS(Pareto_Categories!$G$6:$G$84,Pareto_Categories!$B$6:$B$84,D62,Pareto_Categories!$C$6:$C$84,E62)</f>
        <v>175.162640843516</v>
      </c>
      <c r="I62" s="28" t="n">
        <f aca="false">G62*H62</f>
        <v>5.30157656868913</v>
      </c>
      <c r="J62" s="29" t="n">
        <f aca="false">I62/$I$475</f>
        <v>0.00458273216214511</v>
      </c>
      <c r="K62" s="14" t="n">
        <f aca="false">SUM(J$6:J62)</f>
        <v>0.661415433911229</v>
      </c>
      <c r="L62" s="4" t="str">
        <f aca="false">IF(I62&lt;=0,"-",IF(K62-J62&lt;0.8,"A - top 80%",IF(K62-J62&lt;0.95,"B - next 15%","C - tail")))</f>
        <v>A - top 80%</v>
      </c>
      <c r="M62" s="16" t="n">
        <v>2218225.89285714</v>
      </c>
      <c r="N62" s="16" t="n">
        <v>2636533.92857143</v>
      </c>
      <c r="O62" s="17" t="n">
        <f aca="false">N62-M62</f>
        <v>418308.035714285</v>
      </c>
      <c r="P62" s="14" t="n">
        <f aca="false">IF(M62&lt;1000,"new",R62)</f>
        <v>0.188577744521543</v>
      </c>
      <c r="Q62" s="4" t="str">
        <f aca="false">IF(LEFT(L62,1)="A",IF(R62&lt;-0.05,"2 FIX","1 PROTECT"),IF(AND(N62&gt;=300000,OR(P62="new",R62&gt;=0.25),LEFT(L62,1)&lt;&gt;"-"),"3 SCALE","4 MAINTAIN"))</f>
        <v>1 PROTECT</v>
      </c>
      <c r="R62" s="14" t="n">
        <f aca="false">IF(M62&lt;1000,0,N62/M62-1)</f>
        <v>0.188577744521543</v>
      </c>
    </row>
    <row r="63" customFormat="false" ht="15" hidden="false" customHeight="false" outlineLevel="0" collapsed="false">
      <c r="A63" s="25" t="n">
        <f aca="false">ROW()-5</f>
        <v>58</v>
      </c>
      <c r="B63" s="4" t="s">
        <v>376</v>
      </c>
      <c r="C63" s="4" t="s">
        <v>377</v>
      </c>
      <c r="D63" s="4" t="s">
        <v>78</v>
      </c>
      <c r="E63" s="4" t="s">
        <v>160</v>
      </c>
      <c r="F63" s="16" t="n">
        <v>1523492.41071429</v>
      </c>
      <c r="G63" s="14" t="n">
        <f aca="false">IF(SUMIFS(F$6:F$473,D$6:D$473,D63,E$6:E$473,E63)=0,0,F63/SUMIFS(F$6:F$473,D$6:D$473,D63,E$6:E$473,E63))</f>
        <v>0.200427177761868</v>
      </c>
      <c r="H63" s="5" t="n">
        <f aca="false">SUMIFS(Pareto_Categories!$G$6:$G$84,Pareto_Categories!$B$6:$B$84,D63,Pareto_Categories!$C$6:$C$84,E63)</f>
        <v>26.1756629837819</v>
      </c>
      <c r="I63" s="28" t="n">
        <f aca="false">G63*H63</f>
        <v>5.24631425788519</v>
      </c>
      <c r="J63" s="29" t="n">
        <f aca="false">I63/$I$475</f>
        <v>0.00453496290600131</v>
      </c>
      <c r="K63" s="14" t="n">
        <f aca="false">SUM(J$6:J63)</f>
        <v>0.66595039681723</v>
      </c>
      <c r="L63" s="4" t="str">
        <f aca="false">IF(I63&lt;=0,"-",IF(K63-J63&lt;0.8,"A - top 80%",IF(K63-J63&lt;0.95,"B - next 15%","C - tail")))</f>
        <v>A - top 80%</v>
      </c>
      <c r="M63" s="16" t="n">
        <v>2933753.33035714</v>
      </c>
      <c r="N63" s="16" t="n">
        <v>3255429.01785714</v>
      </c>
      <c r="O63" s="17" t="n">
        <f aca="false">N63-M63</f>
        <v>321675.6875</v>
      </c>
      <c r="P63" s="14" t="n">
        <f aca="false">IF(M63&lt;1000,"new",R63)</f>
        <v>0.109646466923939</v>
      </c>
      <c r="Q63" s="4" t="str">
        <f aca="false">IF(LEFT(L63,1)="A",IF(R63&lt;-0.05,"2 FIX","1 PROTECT"),IF(AND(N63&gt;=300000,OR(P63="new",R63&gt;=0.25),LEFT(L63,1)&lt;&gt;"-"),"3 SCALE","4 MAINTAIN"))</f>
        <v>1 PROTECT</v>
      </c>
      <c r="R63" s="14" t="n">
        <f aca="false">IF(M63&lt;1000,0,N63/M63-1)</f>
        <v>0.109646466923939</v>
      </c>
    </row>
    <row r="64" customFormat="false" ht="15" hidden="false" customHeight="false" outlineLevel="0" collapsed="false">
      <c r="A64" s="25" t="n">
        <f aca="false">ROW()-5</f>
        <v>59</v>
      </c>
      <c r="B64" s="4" t="s">
        <v>378</v>
      </c>
      <c r="C64" s="4" t="s">
        <v>379</v>
      </c>
      <c r="D64" s="4" t="s">
        <v>78</v>
      </c>
      <c r="E64" s="4" t="s">
        <v>165</v>
      </c>
      <c r="F64" s="16" t="n">
        <v>1114460.5</v>
      </c>
      <c r="G64" s="14" t="n">
        <f aca="false">IF(SUMIFS(F$6:F$473,D$6:D$473,D64,E$6:E$473,E64)=0,0,F64/SUMIFS(F$6:F$473,D$6:D$473,D64,E$6:E$473,E64))</f>
        <v>0.316485441624035</v>
      </c>
      <c r="H64" s="5" t="n">
        <f aca="false">SUMIFS(Pareto_Categories!$G$6:$G$84,Pareto_Categories!$B$6:$B$84,D64,Pareto_Categories!$C$6:$C$84,E64)</f>
        <v>16.2037922025372</v>
      </c>
      <c r="I64" s="28" t="n">
        <f aca="false">G64*H64</f>
        <v>5.12826433120408</v>
      </c>
      <c r="J64" s="29" t="n">
        <f aca="false">I64/$I$475</f>
        <v>0.00443291944992157</v>
      </c>
      <c r="K64" s="14" t="n">
        <f aca="false">SUM(J$6:J64)</f>
        <v>0.670383316267152</v>
      </c>
      <c r="L64" s="4" t="str">
        <f aca="false">IF(I64&lt;=0,"-",IF(K64-J64&lt;0.8,"A - top 80%",IF(K64-J64&lt;0.95,"B - next 15%","C - tail")))</f>
        <v>A - top 80%</v>
      </c>
      <c r="M64" s="16" t="n">
        <v>2585891.96428571</v>
      </c>
      <c r="N64" s="16" t="n">
        <v>2720708.22321429</v>
      </c>
      <c r="O64" s="17" t="n">
        <f aca="false">N64-M64</f>
        <v>134816.258928571</v>
      </c>
      <c r="P64" s="14" t="n">
        <f aca="false">IF(M64&lt;1000,"new",R64)</f>
        <v>0.0521353021667363</v>
      </c>
      <c r="Q64" s="4" t="str">
        <f aca="false">IF(LEFT(L64,1)="A",IF(R64&lt;-0.05,"2 FIX","1 PROTECT"),IF(AND(N64&gt;=300000,OR(P64="new",R64&gt;=0.25),LEFT(L64,1)&lt;&gt;"-"),"3 SCALE","4 MAINTAIN"))</f>
        <v>1 PROTECT</v>
      </c>
      <c r="R64" s="14" t="n">
        <f aca="false">IF(M64&lt;1000,0,N64/M64-1)</f>
        <v>0.0521353021667363</v>
      </c>
    </row>
    <row r="65" customFormat="false" ht="15" hidden="false" customHeight="false" outlineLevel="0" collapsed="false">
      <c r="A65" s="25" t="n">
        <f aca="false">ROW()-5</f>
        <v>60</v>
      </c>
      <c r="B65" s="4" t="s">
        <v>380</v>
      </c>
      <c r="C65" s="4" t="s">
        <v>381</v>
      </c>
      <c r="D65" s="4" t="s">
        <v>78</v>
      </c>
      <c r="E65" s="4" t="s">
        <v>152</v>
      </c>
      <c r="F65" s="16" t="n">
        <v>1409251.78571429</v>
      </c>
      <c r="G65" s="14" t="n">
        <f aca="false">IF(SUMIFS(F$6:F$473,D$6:D$473,D65,E$6:E$473,E65)=0,0,F65/SUMIFS(F$6:F$473,D$6:D$473,D65,E$6:E$473,E65))</f>
        <v>0.0290753493384446</v>
      </c>
      <c r="H65" s="5" t="n">
        <f aca="false">SUMIFS(Pareto_Categories!$G$6:$G$84,Pareto_Categories!$B$6:$B$84,D65,Pareto_Categories!$C$6:$C$84,E65)</f>
        <v>175.162640843516</v>
      </c>
      <c r="I65" s="28" t="n">
        <f aca="false">G65*H65</f>
        <v>5.09291497356974</v>
      </c>
      <c r="J65" s="29" t="n">
        <f aca="false">I65/$I$475</f>
        <v>0.00440236313595663</v>
      </c>
      <c r="K65" s="14" t="n">
        <f aca="false">SUM(J$6:J65)</f>
        <v>0.674785679403109</v>
      </c>
      <c r="L65" s="4" t="str">
        <f aca="false">IF(I65&lt;=0,"-",IF(K65-J65&lt;0.8,"A - top 80%",IF(K65-J65&lt;0.95,"B - next 15%","C - tail")))</f>
        <v>A - top 80%</v>
      </c>
      <c r="M65" s="16" t="n">
        <v>2475714.28571429</v>
      </c>
      <c r="N65" s="16" t="n">
        <v>2590564.75892857</v>
      </c>
      <c r="O65" s="17" t="n">
        <f aca="false">N65-M65</f>
        <v>114850.473214286</v>
      </c>
      <c r="P65" s="14" t="n">
        <f aca="false">IF(M65&lt;1000,"new",R65)</f>
        <v>0.0463908431909983</v>
      </c>
      <c r="Q65" s="4" t="str">
        <f aca="false">IF(LEFT(L65,1)="A",IF(R65&lt;-0.05,"2 FIX","1 PROTECT"),IF(AND(N65&gt;=300000,OR(P65="new",R65&gt;=0.25),LEFT(L65,1)&lt;&gt;"-"),"3 SCALE","4 MAINTAIN"))</f>
        <v>1 PROTECT</v>
      </c>
      <c r="R65" s="14" t="n">
        <f aca="false">IF(M65&lt;1000,0,N65/M65-1)</f>
        <v>0.0463908431909983</v>
      </c>
    </row>
    <row r="66" customFormat="false" ht="15" hidden="false" customHeight="false" outlineLevel="0" collapsed="false">
      <c r="A66" s="25" t="n">
        <f aca="false">ROW()-5</f>
        <v>61</v>
      </c>
      <c r="B66" s="4" t="s">
        <v>382</v>
      </c>
      <c r="C66" s="4" t="s">
        <v>383</v>
      </c>
      <c r="D66" s="4" t="s">
        <v>78</v>
      </c>
      <c r="E66" s="4" t="s">
        <v>152</v>
      </c>
      <c r="F66" s="16" t="n">
        <v>1408715.17857143</v>
      </c>
      <c r="G66" s="14" t="n">
        <f aca="false">IF(SUMIFS(F$6:F$473,D$6:D$473,D66,E$6:E$473,E66)=0,0,F66/SUMIFS(F$6:F$473,D$6:D$473,D66,E$6:E$473,E66))</f>
        <v>0.0290642781868632</v>
      </c>
      <c r="H66" s="5" t="n">
        <f aca="false">SUMIFS(Pareto_Categories!$G$6:$G$84,Pareto_Categories!$B$6:$B$84,D66,Pareto_Categories!$C$6:$C$84,E66)</f>
        <v>175.162640843516</v>
      </c>
      <c r="I66" s="28" t="n">
        <f aca="false">G66*H66</f>
        <v>5.09097572142155</v>
      </c>
      <c r="J66" s="29" t="n">
        <f aca="false">I66/$I$475</f>
        <v>0.00440068682833853</v>
      </c>
      <c r="K66" s="14" t="n">
        <f aca="false">SUM(J$6:J66)</f>
        <v>0.679186366231447</v>
      </c>
      <c r="L66" s="4" t="str">
        <f aca="false">IF(I66&lt;=0,"-",IF(K66-J66&lt;0.8,"A - top 80%",IF(K66-J66&lt;0.95,"B - next 15%","C - tail")))</f>
        <v>A - top 80%</v>
      </c>
      <c r="M66" s="16" t="n">
        <v>3351842.85714286</v>
      </c>
      <c r="N66" s="16" t="n">
        <v>3254507.65178571</v>
      </c>
      <c r="O66" s="17" t="n">
        <f aca="false">N66-M66</f>
        <v>-97335.2053571427</v>
      </c>
      <c r="P66" s="14" t="n">
        <f aca="false">IF(M66&lt;1000,"new",R66)</f>
        <v>-0.0290393104646058</v>
      </c>
      <c r="Q66" s="4" t="str">
        <f aca="false">IF(LEFT(L66,1)="A",IF(R66&lt;-0.05,"2 FIX","1 PROTECT"),IF(AND(N66&gt;=300000,OR(P66="new",R66&gt;=0.25),LEFT(L66,1)&lt;&gt;"-"),"3 SCALE","4 MAINTAIN"))</f>
        <v>1 PROTECT</v>
      </c>
      <c r="R66" s="14" t="n">
        <f aca="false">IF(M66&lt;1000,0,N66/M66-1)</f>
        <v>-0.0290393104646058</v>
      </c>
    </row>
    <row r="67" customFormat="false" ht="15" hidden="false" customHeight="false" outlineLevel="0" collapsed="false">
      <c r="A67" s="25" t="n">
        <f aca="false">ROW()-5</f>
        <v>62</v>
      </c>
      <c r="B67" s="4" t="s">
        <v>384</v>
      </c>
      <c r="C67" s="4" t="s">
        <v>385</v>
      </c>
      <c r="D67" s="4" t="s">
        <v>78</v>
      </c>
      <c r="E67" s="4" t="s">
        <v>151</v>
      </c>
      <c r="F67" s="16" t="n">
        <v>1479651.78571429</v>
      </c>
      <c r="G67" s="14" t="n">
        <f aca="false">IF(SUMIFS(F$6:F$473,D$6:D$473,D67,E$6:E$473,E67)=0,0,F67/SUMIFS(F$6:F$473,D$6:D$473,D67,E$6:E$473,E67))</f>
        <v>0.0258092341656631</v>
      </c>
      <c r="H67" s="5" t="n">
        <f aca="false">SUMIFS(Pareto_Categories!$G$6:$G$84,Pareto_Categories!$B$6:$B$84,D67,Pareto_Categories!$C$6:$C$84,E67)</f>
        <v>192.620734264564</v>
      </c>
      <c r="I67" s="28" t="n">
        <f aca="false">G67*H67</f>
        <v>4.97139363579609</v>
      </c>
      <c r="J67" s="29" t="n">
        <f aca="false">I67/$I$475</f>
        <v>0.00429731895979755</v>
      </c>
      <c r="K67" s="14" t="n">
        <f aca="false">SUM(J$6:J67)</f>
        <v>0.683483685191245</v>
      </c>
      <c r="L67" s="4" t="str">
        <f aca="false">IF(I67&lt;=0,"-",IF(K67-J67&lt;0.8,"A - top 80%",IF(K67-J67&lt;0.95,"B - next 15%","C - tail")))</f>
        <v>A - top 80%</v>
      </c>
      <c r="M67" s="16" t="n">
        <v>3101958.92857143</v>
      </c>
      <c r="N67" s="16" t="n">
        <v>2897817.85714286</v>
      </c>
      <c r="O67" s="17" t="n">
        <f aca="false">N67-M67</f>
        <v>-204141.071428571</v>
      </c>
      <c r="P67" s="14" t="n">
        <f aca="false">IF(M67&lt;1000,"new",R67)</f>
        <v>-0.0658103721323564</v>
      </c>
      <c r="Q67" s="4" t="str">
        <f aca="false">IF(LEFT(L67,1)="A",IF(R67&lt;-0.05,"2 FIX","1 PROTECT"),IF(AND(N67&gt;=300000,OR(P67="new",R67&gt;=0.25),LEFT(L67,1)&lt;&gt;"-"),"3 SCALE","4 MAINTAIN"))</f>
        <v>2 FIX</v>
      </c>
      <c r="R67" s="14" t="n">
        <f aca="false">IF(M67&lt;1000,0,N67/M67-1)</f>
        <v>-0.0658103721323564</v>
      </c>
    </row>
    <row r="68" customFormat="false" ht="15" hidden="false" customHeight="false" outlineLevel="0" collapsed="false">
      <c r="A68" s="25" t="n">
        <f aca="false">ROW()-5</f>
        <v>63</v>
      </c>
      <c r="B68" s="4" t="s">
        <v>386</v>
      </c>
      <c r="C68" s="4" t="s">
        <v>387</v>
      </c>
      <c r="D68" s="4" t="s">
        <v>78</v>
      </c>
      <c r="E68" s="4" t="s">
        <v>157</v>
      </c>
      <c r="F68" s="16" t="n">
        <v>1638507.14285714</v>
      </c>
      <c r="G68" s="14" t="n">
        <f aca="false">IF(SUMIFS(F$6:F$473,D$6:D$473,D68,E$6:E$473,E68)=0,0,F68/SUMIFS(F$6:F$473,D$6:D$473,D68,E$6:E$473,E68))</f>
        <v>0.126907143359737</v>
      </c>
      <c r="H68" s="5" t="n">
        <f aca="false">SUMIFS(Pareto_Categories!$G$6:$G$84,Pareto_Categories!$B$6:$B$84,D68,Pareto_Categories!$C$6:$C$84,E68)</f>
        <v>38.9811115222903</v>
      </c>
      <c r="I68" s="28" t="n">
        <f aca="false">G68*H68</f>
        <v>4.9469815082812</v>
      </c>
      <c r="J68" s="29" t="n">
        <f aca="false">I68/$I$475</f>
        <v>0.00427621688941162</v>
      </c>
      <c r="K68" s="14" t="n">
        <f aca="false">SUM(J$6:J68)</f>
        <v>0.687759902080656</v>
      </c>
      <c r="L68" s="4" t="str">
        <f aca="false">IF(I68&lt;=0,"-",IF(K68-J68&lt;0.8,"A - top 80%",IF(K68-J68&lt;0.95,"B - next 15%","C - tail")))</f>
        <v>A - top 80%</v>
      </c>
      <c r="M68" s="16" t="n">
        <v>2718528.96428571</v>
      </c>
      <c r="N68" s="16" t="n">
        <v>3296683.03571429</v>
      </c>
      <c r="O68" s="17" t="n">
        <f aca="false">N68-M68</f>
        <v>578154.071428571</v>
      </c>
      <c r="P68" s="14" t="n">
        <f aca="false">IF(M68&lt;1000,"new",R68)</f>
        <v>0.212671661411001</v>
      </c>
      <c r="Q68" s="4" t="str">
        <f aca="false">IF(LEFT(L68,1)="A",IF(R68&lt;-0.05,"2 FIX","1 PROTECT"),IF(AND(N68&gt;=300000,OR(P68="new",R68&gt;=0.25),LEFT(L68,1)&lt;&gt;"-"),"3 SCALE","4 MAINTAIN"))</f>
        <v>1 PROTECT</v>
      </c>
      <c r="R68" s="14" t="n">
        <f aca="false">IF(M68&lt;1000,0,N68/M68-1)</f>
        <v>0.212671661411001</v>
      </c>
    </row>
    <row r="69" customFormat="false" ht="15" hidden="false" customHeight="false" outlineLevel="0" collapsed="false">
      <c r="A69" s="25" t="n">
        <f aca="false">ROW()-5</f>
        <v>64</v>
      </c>
      <c r="B69" s="4" t="s">
        <v>388</v>
      </c>
      <c r="C69" s="4" t="s">
        <v>389</v>
      </c>
      <c r="D69" s="4" t="s">
        <v>78</v>
      </c>
      <c r="E69" s="4" t="s">
        <v>162</v>
      </c>
      <c r="F69" s="16" t="n">
        <v>1547818.75</v>
      </c>
      <c r="G69" s="14" t="n">
        <f aca="false">IF(SUMIFS(F$6:F$473,D$6:D$473,D69,E$6:E$473,E69)=0,0,F69/SUMIFS(F$6:F$473,D$6:D$473,D69,E$6:E$473,E69))</f>
        <v>0.236785851844122</v>
      </c>
      <c r="H69" s="5" t="n">
        <f aca="false">SUMIFS(Pareto_Categories!$G$6:$G$84,Pareto_Categories!$B$6:$B$84,D69,Pareto_Categories!$C$6:$C$84,E69)</f>
        <v>20.4788803648929</v>
      </c>
      <c r="I69" s="28" t="n">
        <f aca="false">G69*H69</f>
        <v>4.84910913201502</v>
      </c>
      <c r="J69" s="29" t="n">
        <f aca="false">I69/$I$475</f>
        <v>0.00419161509583392</v>
      </c>
      <c r="K69" s="14" t="n">
        <f aca="false">SUM(J$6:J69)</f>
        <v>0.69195151717649</v>
      </c>
      <c r="L69" s="4" t="str">
        <f aca="false">IF(I69&lt;=0,"-",IF(K69-J69&lt;0.8,"A - top 80%",IF(K69-J69&lt;0.95,"B - next 15%","C - tail")))</f>
        <v>A - top 80%</v>
      </c>
      <c r="M69" s="16" t="n">
        <v>187516.071428571</v>
      </c>
      <c r="N69" s="16" t="n">
        <v>3402925</v>
      </c>
      <c r="O69" s="17" t="n">
        <f aca="false">N69-M69</f>
        <v>3215408.92857143</v>
      </c>
      <c r="P69" s="14" t="n">
        <f aca="false">IF(M69&lt;1000,"new",R69)</f>
        <v>17.1473778438039</v>
      </c>
      <c r="Q69" s="4" t="str">
        <f aca="false">IF(LEFT(L69,1)="A",IF(R69&lt;-0.05,"2 FIX","1 PROTECT"),IF(AND(N69&gt;=300000,OR(P69="new",R69&gt;=0.25),LEFT(L69,1)&lt;&gt;"-"),"3 SCALE","4 MAINTAIN"))</f>
        <v>1 PROTECT</v>
      </c>
      <c r="R69" s="14" t="n">
        <f aca="false">IF(M69&lt;1000,0,N69/M69-1)</f>
        <v>17.1473778438039</v>
      </c>
    </row>
    <row r="70" customFormat="false" ht="15" hidden="false" customHeight="false" outlineLevel="0" collapsed="false">
      <c r="A70" s="25" t="n">
        <f aca="false">ROW()-5</f>
        <v>65</v>
      </c>
      <c r="B70" s="4" t="s">
        <v>390</v>
      </c>
      <c r="C70" s="4" t="s">
        <v>391</v>
      </c>
      <c r="D70" s="4" t="s">
        <v>78</v>
      </c>
      <c r="E70" s="4" t="s">
        <v>152</v>
      </c>
      <c r="F70" s="16" t="n">
        <v>1312420.53571429</v>
      </c>
      <c r="G70" s="14" t="n">
        <f aca="false">IF(SUMIFS(F$6:F$473,D$6:D$473,D70,E$6:E$473,E70)=0,0,F70/SUMIFS(F$6:F$473,D$6:D$473,D70,E$6:E$473,E70))</f>
        <v>0.027077549903902</v>
      </c>
      <c r="H70" s="5" t="n">
        <f aca="false">SUMIFS(Pareto_Categories!$G$6:$G$84,Pareto_Categories!$B$6:$B$84,D70,Pareto_Categories!$C$6:$C$84,E70)</f>
        <v>175.162640843516</v>
      </c>
      <c r="I70" s="28" t="n">
        <f aca="false">G70*H70</f>
        <v>4.74297514873956</v>
      </c>
      <c r="J70" s="29" t="n">
        <f aca="false">I70/$I$475</f>
        <v>0.00409987189221303</v>
      </c>
      <c r="K70" s="14" t="n">
        <f aca="false">SUM(J$6:J70)</f>
        <v>0.696051389068703</v>
      </c>
      <c r="L70" s="4" t="str">
        <f aca="false">IF(I70&lt;=0,"-",IF(K70-J70&lt;0.8,"A - top 80%",IF(K70-J70&lt;0.95,"B - next 15%","C - tail")))</f>
        <v>A - top 80%</v>
      </c>
      <c r="M70" s="16" t="n">
        <v>2792057.14285714</v>
      </c>
      <c r="N70" s="16" t="n">
        <v>2653575.16071429</v>
      </c>
      <c r="O70" s="17" t="n">
        <f aca="false">N70-M70</f>
        <v>-138481.982142858</v>
      </c>
      <c r="P70" s="14" t="n">
        <f aca="false">IF(M70&lt;1000,"new",R70)</f>
        <v>-0.0495985486891389</v>
      </c>
      <c r="Q70" s="4" t="str">
        <f aca="false">IF(LEFT(L70,1)="A",IF(R70&lt;-0.05,"2 FIX","1 PROTECT"),IF(AND(N70&gt;=300000,OR(P70="new",R70&gt;=0.25),LEFT(L70,1)&lt;&gt;"-"),"3 SCALE","4 MAINTAIN"))</f>
        <v>1 PROTECT</v>
      </c>
      <c r="R70" s="14" t="n">
        <f aca="false">IF(M70&lt;1000,0,N70/M70-1)</f>
        <v>-0.0495985486891389</v>
      </c>
    </row>
    <row r="71" customFormat="false" ht="15" hidden="false" customHeight="false" outlineLevel="0" collapsed="false">
      <c r="A71" s="25" t="n">
        <f aca="false">ROW()-5</f>
        <v>66</v>
      </c>
      <c r="B71" s="4" t="s">
        <v>392</v>
      </c>
      <c r="C71" s="4" t="s">
        <v>393</v>
      </c>
      <c r="D71" s="4" t="s">
        <v>78</v>
      </c>
      <c r="E71" s="4" t="s">
        <v>154</v>
      </c>
      <c r="F71" s="16" t="n">
        <v>1444816.32142857</v>
      </c>
      <c r="G71" s="14" t="n">
        <f aca="false">IF(SUMIFS(F$6:F$473,D$6:D$473,D71,E$6:E$473,E71)=0,0,F71/SUMIFS(F$6:F$473,D$6:D$473,D71,E$6:E$473,E71))</f>
        <v>0.0385190224821392</v>
      </c>
      <c r="H71" s="5" t="n">
        <f aca="false">SUMIFS(Pareto_Categories!$G$6:$G$84,Pareto_Categories!$B$6:$B$84,D71,Pareto_Categories!$C$6:$C$84,E71)</f>
        <v>120.122971429313</v>
      </c>
      <c r="I71" s="28" t="n">
        <f aca="false">G71*H71</f>
        <v>4.62701943710708</v>
      </c>
      <c r="J71" s="29" t="n">
        <f aca="false">I71/$I$475</f>
        <v>0.00399963869512577</v>
      </c>
      <c r="K71" s="14" t="n">
        <f aca="false">SUM(J$6:J71)</f>
        <v>0.700051027763829</v>
      </c>
      <c r="L71" s="4" t="str">
        <f aca="false">IF(I71&lt;=0,"-",IF(K71-J71&lt;0.8,"A - top 80%",IF(K71-J71&lt;0.95,"B - next 15%","C - tail")))</f>
        <v>A - top 80%</v>
      </c>
      <c r="M71" s="16" t="n">
        <v>1902297.23214286</v>
      </c>
      <c r="N71" s="16" t="n">
        <v>2844160.58035714</v>
      </c>
      <c r="O71" s="17" t="n">
        <f aca="false">N71-M71</f>
        <v>941863.348214286</v>
      </c>
      <c r="P71" s="14" t="n">
        <f aca="false">IF(M71&lt;1000,"new",R71)</f>
        <v>0.49511891848432</v>
      </c>
      <c r="Q71" s="4" t="str">
        <f aca="false">IF(LEFT(L71,1)="A",IF(R71&lt;-0.05,"2 FIX","1 PROTECT"),IF(AND(N71&gt;=300000,OR(P71="new",R71&gt;=0.25),LEFT(L71,1)&lt;&gt;"-"),"3 SCALE","4 MAINTAIN"))</f>
        <v>1 PROTECT</v>
      </c>
      <c r="R71" s="14" t="n">
        <f aca="false">IF(M71&lt;1000,0,N71/M71-1)</f>
        <v>0.49511891848432</v>
      </c>
    </row>
    <row r="72" customFormat="false" ht="15" hidden="false" customHeight="false" outlineLevel="0" collapsed="false">
      <c r="A72" s="25" t="n">
        <f aca="false">ROW()-5</f>
        <v>67</v>
      </c>
      <c r="B72" s="4" t="s">
        <v>394</v>
      </c>
      <c r="C72" s="4" t="s">
        <v>395</v>
      </c>
      <c r="D72" s="4" t="s">
        <v>78</v>
      </c>
      <c r="E72" s="4" t="s">
        <v>153</v>
      </c>
      <c r="F72" s="16" t="n">
        <v>986144.642857143</v>
      </c>
      <c r="G72" s="14" t="n">
        <f aca="false">IF(SUMIFS(F$6:F$473,D$6:D$473,D72,E$6:E$473,E72)=0,0,F72/SUMIFS(F$6:F$473,D$6:D$473,D72,E$6:E$473,E72))</f>
        <v>0.0292071139681617</v>
      </c>
      <c r="H72" s="5" t="n">
        <f aca="false">SUMIFS(Pareto_Categories!$G$6:$G$84,Pareto_Categories!$B$6:$B$84,D72,Pareto_Categories!$C$6:$C$84,E72)</f>
        <v>152.006736079647</v>
      </c>
      <c r="I72" s="28" t="n">
        <f aca="false">G72*H72</f>
        <v>4.43967806460653</v>
      </c>
      <c r="J72" s="29" t="n">
        <f aca="false">I72/$I$475</f>
        <v>0.00383769906793465</v>
      </c>
      <c r="K72" s="14" t="n">
        <f aca="false">SUM(J$6:J72)</f>
        <v>0.703888726831764</v>
      </c>
      <c r="L72" s="4" t="str">
        <f aca="false">IF(I72&lt;=0,"-",IF(K72-J72&lt;0.8,"A - top 80%",IF(K72-J72&lt;0.95,"B - next 15%","C - tail")))</f>
        <v>A - top 80%</v>
      </c>
      <c r="M72" s="16" t="n">
        <v>1673130.23214286</v>
      </c>
      <c r="N72" s="16" t="n">
        <v>1898082.14285714</v>
      </c>
      <c r="O72" s="17" t="n">
        <f aca="false">N72-M72</f>
        <v>224951.910714286</v>
      </c>
      <c r="P72" s="14" t="n">
        <f aca="false">IF(M72&lt;1000,"new",R72)</f>
        <v>0.134449731642336</v>
      </c>
      <c r="Q72" s="4" t="str">
        <f aca="false">IF(LEFT(L72,1)="A",IF(R72&lt;-0.05,"2 FIX","1 PROTECT"),IF(AND(N72&gt;=300000,OR(P72="new",R72&gt;=0.25),LEFT(L72,1)&lt;&gt;"-"),"3 SCALE","4 MAINTAIN"))</f>
        <v>1 PROTECT</v>
      </c>
      <c r="R72" s="14" t="n">
        <f aca="false">IF(M72&lt;1000,0,N72/M72-1)</f>
        <v>0.134449731642336</v>
      </c>
    </row>
    <row r="73" customFormat="false" ht="15" hidden="false" customHeight="false" outlineLevel="0" collapsed="false">
      <c r="A73" s="25" t="n">
        <f aca="false">ROW()-5</f>
        <v>68</v>
      </c>
      <c r="B73" s="4" t="s">
        <v>312</v>
      </c>
      <c r="C73" s="4" t="s">
        <v>313</v>
      </c>
      <c r="D73" s="4" t="s">
        <v>83</v>
      </c>
      <c r="E73" s="4" t="s">
        <v>191</v>
      </c>
      <c r="F73" s="16" t="n">
        <v>1090749.10714286</v>
      </c>
      <c r="G73" s="14" t="n">
        <f aca="false">IF(SUMIFS(F$6:F$473,D$6:D$473,D73,E$6:E$473,E73)=0,0,F73/SUMIFS(F$6:F$473,D$6:D$473,D73,E$6:E$473,E73))</f>
        <v>0.994323680442906</v>
      </c>
      <c r="H73" s="5" t="n">
        <f aca="false">SUMIFS(Pareto_Categories!$G$6:$G$84,Pareto_Categories!$B$6:$B$84,D73,Pareto_Categories!$C$6:$C$84,E73)</f>
        <v>4.37626638897709</v>
      </c>
      <c r="I73" s="28" t="n">
        <f aca="false">G73*H73</f>
        <v>4.35142530248628</v>
      </c>
      <c r="J73" s="29" t="n">
        <f aca="false">I73/$I$475</f>
        <v>0.00376141255841687</v>
      </c>
      <c r="K73" s="14" t="n">
        <f aca="false">SUM(J$6:J73)</f>
        <v>0.707650139390181</v>
      </c>
      <c r="L73" s="4" t="str">
        <f aca="false">IF(I73&lt;=0,"-",IF(K73-J73&lt;0.8,"A - top 80%",IF(K73-J73&lt;0.95,"B - next 15%","C - tail")))</f>
        <v>A - top 80%</v>
      </c>
      <c r="M73" s="16" t="n">
        <v>2640093.75</v>
      </c>
      <c r="N73" s="16" t="n">
        <v>2511053.57142857</v>
      </c>
      <c r="O73" s="17" t="n">
        <f aca="false">N73-M73</f>
        <v>-129040.178571429</v>
      </c>
      <c r="P73" s="14" t="n">
        <f aca="false">IF(M73&lt;1000,"new",R73)</f>
        <v>-0.0488771198263051</v>
      </c>
      <c r="Q73" s="4" t="str">
        <f aca="false">IF(LEFT(L73,1)="A",IF(R73&lt;-0.05,"2 FIX","1 PROTECT"),IF(AND(N73&gt;=300000,OR(P73="new",R73&gt;=0.25),LEFT(L73,1)&lt;&gt;"-"),"3 SCALE","4 MAINTAIN"))</f>
        <v>1 PROTECT</v>
      </c>
      <c r="R73" s="14" t="n">
        <f aca="false">IF(M73&lt;1000,0,N73/M73-1)</f>
        <v>-0.0488771198263051</v>
      </c>
    </row>
    <row r="74" customFormat="false" ht="15" hidden="false" customHeight="false" outlineLevel="0" collapsed="false">
      <c r="A74" s="25" t="n">
        <f aca="false">ROW()-5</f>
        <v>69</v>
      </c>
      <c r="B74" s="4" t="s">
        <v>396</v>
      </c>
      <c r="C74" s="4" t="s">
        <v>397</v>
      </c>
      <c r="D74" s="4" t="s">
        <v>78</v>
      </c>
      <c r="E74" s="4" t="s">
        <v>154</v>
      </c>
      <c r="F74" s="16" t="n">
        <v>1337130.70535714</v>
      </c>
      <c r="G74" s="14" t="n">
        <f aca="false">IF(SUMIFS(F$6:F$473,D$6:D$473,D74,E$6:E$473,E74)=0,0,F74/SUMIFS(F$6:F$473,D$6:D$473,D74,E$6:E$473,E74))</f>
        <v>0.0356481076087821</v>
      </c>
      <c r="H74" s="5" t="n">
        <f aca="false">SUMIFS(Pareto_Categories!$G$6:$G$84,Pareto_Categories!$B$6:$B$84,D74,Pareto_Categories!$C$6:$C$84,E74)</f>
        <v>120.122971429313</v>
      </c>
      <c r="I74" s="28" t="n">
        <f aca="false">G74*H74</f>
        <v>4.28215661179882</v>
      </c>
      <c r="J74" s="29" t="n">
        <f aca="false">I74/$I$475</f>
        <v>0.0037015360570535</v>
      </c>
      <c r="K74" s="14" t="n">
        <f aca="false">SUM(J$6:J74)</f>
        <v>0.711351675447234</v>
      </c>
      <c r="L74" s="4" t="str">
        <f aca="false">IF(I74&lt;=0,"-",IF(K74-J74&lt;0.8,"A - top 80%",IF(K74-J74&lt;0.95,"B - next 15%","C - tail")))</f>
        <v>A - top 80%</v>
      </c>
      <c r="M74" s="16" t="n">
        <v>2810443.625</v>
      </c>
      <c r="N74" s="16" t="n">
        <v>2935285.10714286</v>
      </c>
      <c r="O74" s="17" t="n">
        <f aca="false">N74-M74</f>
        <v>124841.482142857</v>
      </c>
      <c r="P74" s="14" t="n">
        <f aca="false">IF(M74&lt;1000,"new",R74)</f>
        <v>0.0444205608795505</v>
      </c>
      <c r="Q74" s="4" t="str">
        <f aca="false">IF(LEFT(L74,1)="A",IF(R74&lt;-0.05,"2 FIX","1 PROTECT"),IF(AND(N74&gt;=300000,OR(P74="new",R74&gt;=0.25),LEFT(L74,1)&lt;&gt;"-"),"3 SCALE","4 MAINTAIN"))</f>
        <v>1 PROTECT</v>
      </c>
      <c r="R74" s="14" t="n">
        <f aca="false">IF(M74&lt;1000,0,N74/M74-1)</f>
        <v>0.0444205608795505</v>
      </c>
    </row>
    <row r="75" customFormat="false" ht="15" hidden="false" customHeight="false" outlineLevel="0" collapsed="false">
      <c r="A75" s="25" t="n">
        <f aca="false">ROW()-5</f>
        <v>70</v>
      </c>
      <c r="B75" s="4" t="s">
        <v>398</v>
      </c>
      <c r="C75" s="4" t="s">
        <v>399</v>
      </c>
      <c r="D75" s="4" t="s">
        <v>78</v>
      </c>
      <c r="E75" s="4" t="s">
        <v>154</v>
      </c>
      <c r="F75" s="16" t="n">
        <v>1329333.13392857</v>
      </c>
      <c r="G75" s="14" t="n">
        <f aca="false">IF(SUMIFS(F$6:F$473,D$6:D$473,D75,E$6:E$473,E75)=0,0,F75/SUMIFS(F$6:F$473,D$6:D$473,D75,E$6:E$473,E75))</f>
        <v>0.0354402231706646</v>
      </c>
      <c r="H75" s="5" t="n">
        <f aca="false">SUMIFS(Pareto_Categories!$G$6:$G$84,Pareto_Categories!$B$6:$B$84,D75,Pareto_Categories!$C$6:$C$84,E75)</f>
        <v>120.122971429313</v>
      </c>
      <c r="I75" s="28" t="n">
        <f aca="false">G75*H75</f>
        <v>4.25718491537822</v>
      </c>
      <c r="J75" s="29" t="n">
        <f aca="false">I75/$I$475</f>
        <v>0.00367995029009394</v>
      </c>
      <c r="K75" s="14" t="n">
        <f aca="false">SUM(J$6:J75)</f>
        <v>0.715031625737328</v>
      </c>
      <c r="L75" s="4" t="str">
        <f aca="false">IF(I75&lt;=0,"-",IF(K75-J75&lt;0.8,"A - top 80%",IF(K75-J75&lt;0.95,"B - next 15%","C - tail")))</f>
        <v>A - top 80%</v>
      </c>
      <c r="M75" s="16" t="n">
        <v>3362805.35714286</v>
      </c>
      <c r="N75" s="16" t="n">
        <v>2929596.84821429</v>
      </c>
      <c r="O75" s="17" t="n">
        <f aca="false">N75-M75</f>
        <v>-433208.508928572</v>
      </c>
      <c r="P75" s="14" t="n">
        <f aca="false">IF(M75&lt;1000,"new",R75)</f>
        <v>-0.128823545498524</v>
      </c>
      <c r="Q75" s="4" t="str">
        <f aca="false">IF(LEFT(L75,1)="A",IF(R75&lt;-0.05,"2 FIX","1 PROTECT"),IF(AND(N75&gt;=300000,OR(P75="new",R75&gt;=0.25),LEFT(L75,1)&lt;&gt;"-"),"3 SCALE","4 MAINTAIN"))</f>
        <v>2 FIX</v>
      </c>
      <c r="R75" s="14" t="n">
        <f aca="false">IF(M75&lt;1000,0,N75/M75-1)</f>
        <v>-0.128823545498524</v>
      </c>
    </row>
    <row r="76" customFormat="false" ht="15" hidden="false" customHeight="false" outlineLevel="0" collapsed="false">
      <c r="A76" s="25" t="n">
        <f aca="false">ROW()-5</f>
        <v>71</v>
      </c>
      <c r="B76" s="4" t="s">
        <v>340</v>
      </c>
      <c r="C76" s="4" t="s">
        <v>341</v>
      </c>
      <c r="D76" s="4" t="s">
        <v>83</v>
      </c>
      <c r="E76" s="4" t="s">
        <v>223</v>
      </c>
      <c r="F76" s="16" t="n">
        <v>1445069.75</v>
      </c>
      <c r="G76" s="14" t="n">
        <f aca="false">IF(SUMIFS(F$6:F$473,D$6:D$473,D76,E$6:E$473,E76)=0,0,F76/SUMIFS(F$6:F$473,D$6:D$473,D76,E$6:E$473,E76))</f>
        <v>0.440649198495509</v>
      </c>
      <c r="H76" s="5" t="n">
        <f aca="false">SUMIFS(Pareto_Categories!$G$6:$G$84,Pareto_Categories!$B$6:$B$84,D76,Pareto_Categories!$C$6:$C$84,E76)</f>
        <v>9.64323654379639</v>
      </c>
      <c r="I76" s="28" t="n">
        <f aca="false">G76*H76</f>
        <v>4.24928445392648</v>
      </c>
      <c r="J76" s="29" t="n">
        <f aca="false">I76/$I$475</f>
        <v>0.0036731210576342</v>
      </c>
      <c r="K76" s="14" t="n">
        <f aca="false">SUM(J$6:J76)</f>
        <v>0.718704746794962</v>
      </c>
      <c r="L76" s="4" t="str">
        <f aca="false">IF(I76&lt;=0,"-",IF(K76-J76&lt;0.8,"A - top 80%",IF(K76-J76&lt;0.95,"B - next 15%","C - tail")))</f>
        <v>A - top 80%</v>
      </c>
      <c r="M76" s="16" t="n">
        <v>3041535.91964286</v>
      </c>
      <c r="N76" s="16" t="n">
        <v>2801085.82142857</v>
      </c>
      <c r="O76" s="17" t="n">
        <f aca="false">N76-M76</f>
        <v>-240450.098214286</v>
      </c>
      <c r="P76" s="14" t="n">
        <f aca="false">IF(M76&lt;1000,"new",R76)</f>
        <v>-0.0790554853097115</v>
      </c>
      <c r="Q76" s="4" t="str">
        <f aca="false">IF(LEFT(L76,1)="A",IF(R76&lt;-0.05,"2 FIX","1 PROTECT"),IF(AND(N76&gt;=300000,OR(P76="new",R76&gt;=0.25),LEFT(L76,1)&lt;&gt;"-"),"3 SCALE","4 MAINTAIN"))</f>
        <v>2 FIX</v>
      </c>
      <c r="R76" s="14" t="n">
        <f aca="false">IF(M76&lt;1000,0,N76/M76-1)</f>
        <v>-0.0790554853097115</v>
      </c>
    </row>
    <row r="77" customFormat="false" ht="15" hidden="false" customHeight="false" outlineLevel="0" collapsed="false">
      <c r="A77" s="25" t="n">
        <f aca="false">ROW()-5</f>
        <v>72</v>
      </c>
      <c r="B77" s="4" t="s">
        <v>400</v>
      </c>
      <c r="C77" s="4" t="s">
        <v>401</v>
      </c>
      <c r="D77" s="4" t="s">
        <v>78</v>
      </c>
      <c r="E77" s="4" t="s">
        <v>154</v>
      </c>
      <c r="F77" s="16" t="n">
        <v>1298478.57142857</v>
      </c>
      <c r="G77" s="14" t="n">
        <f aca="false">IF(SUMIFS(F$6:F$473,D$6:D$473,D77,E$6:E$473,E77)=0,0,F77/SUMIFS(F$6:F$473,D$6:D$473,D77,E$6:E$473,E77))</f>
        <v>0.034617635850057</v>
      </c>
      <c r="H77" s="5" t="n">
        <f aca="false">SUMIFS(Pareto_Categories!$G$6:$G$84,Pareto_Categories!$B$6:$B$84,D77,Pareto_Categories!$C$6:$C$84,E77)</f>
        <v>120.122971429313</v>
      </c>
      <c r="I77" s="28" t="n">
        <f aca="false">G77*H77</f>
        <v>4.15837328216676</v>
      </c>
      <c r="J77" s="29" t="n">
        <f aca="false">I77/$I$475</f>
        <v>0.00359453659406498</v>
      </c>
      <c r="K77" s="14" t="n">
        <f aca="false">SUM(J$6:J77)</f>
        <v>0.722299283389027</v>
      </c>
      <c r="L77" s="4" t="str">
        <f aca="false">IF(I77&lt;=0,"-",IF(K77-J77&lt;0.8,"A - top 80%",IF(K77-J77&lt;0.95,"B - next 15%","C - tail")))</f>
        <v>A - top 80%</v>
      </c>
      <c r="M77" s="16" t="n">
        <v>1963063.39285714</v>
      </c>
      <c r="N77" s="16" t="n">
        <v>2755987.5</v>
      </c>
      <c r="O77" s="17" t="n">
        <f aca="false">N77-M77</f>
        <v>792924.107142857</v>
      </c>
      <c r="P77" s="14" t="n">
        <f aca="false">IF(M77&lt;1000,"new",R77)</f>
        <v>0.403921804068077</v>
      </c>
      <c r="Q77" s="4" t="str">
        <f aca="false">IF(LEFT(L77,1)="A",IF(R77&lt;-0.05,"2 FIX","1 PROTECT"),IF(AND(N77&gt;=300000,OR(P77="new",R77&gt;=0.25),LEFT(L77,1)&lt;&gt;"-"),"3 SCALE","4 MAINTAIN"))</f>
        <v>1 PROTECT</v>
      </c>
      <c r="R77" s="14" t="n">
        <f aca="false">IF(M77&lt;1000,0,N77/M77-1)</f>
        <v>0.403921804068077</v>
      </c>
    </row>
    <row r="78" customFormat="false" ht="15" hidden="false" customHeight="false" outlineLevel="0" collapsed="false">
      <c r="A78" s="25" t="n">
        <f aca="false">ROW()-5</f>
        <v>73</v>
      </c>
      <c r="B78" s="4" t="s">
        <v>402</v>
      </c>
      <c r="C78" s="4" t="s">
        <v>403</v>
      </c>
      <c r="D78" s="4" t="s">
        <v>83</v>
      </c>
      <c r="E78" s="4" t="s">
        <v>190</v>
      </c>
      <c r="F78" s="16" t="n">
        <v>419.642857142857</v>
      </c>
      <c r="G78" s="14" t="n">
        <f aca="false">IF(SUMIFS(F$6:F$473,D$6:D$473,D78,E$6:E$473,E78)=0,0,F78/SUMIFS(F$6:F$473,D$6:D$473,D78,E$6:E$473,E78))</f>
        <v>1</v>
      </c>
      <c r="H78" s="5" t="n">
        <f aca="false">SUMIFS(Pareto_Categories!$G$6:$G$84,Pareto_Categories!$B$6:$B$84,D78,Pareto_Categories!$C$6:$C$84,E78)</f>
        <v>4.08063832264183</v>
      </c>
      <c r="I78" s="28" t="n">
        <f aca="false">G78*H78</f>
        <v>4.08063832264183</v>
      </c>
      <c r="J78" s="29" t="n">
        <f aca="false">I78/$I$475</f>
        <v>0.00352734177106801</v>
      </c>
      <c r="K78" s="14" t="n">
        <f aca="false">SUM(J$6:J78)</f>
        <v>0.725826625160095</v>
      </c>
      <c r="L78" s="4" t="str">
        <f aca="false">IF(I78&lt;=0,"-",IF(K78-J78&lt;0.8,"A - top 80%",IF(K78-J78&lt;0.95,"B - next 15%","C - tail")))</f>
        <v>A - top 80%</v>
      </c>
      <c r="M78" s="16" t="n">
        <v>1692.85714285714</v>
      </c>
      <c r="N78" s="16" t="n">
        <v>3931.25</v>
      </c>
      <c r="O78" s="17" t="n">
        <f aca="false">N78-M78</f>
        <v>2238.39285714286</v>
      </c>
      <c r="P78" s="14" t="n">
        <f aca="false">IF(M78&lt;1000,"new",R78)</f>
        <v>1.32225738396624</v>
      </c>
      <c r="Q78" s="4" t="str">
        <f aca="false">IF(LEFT(L78,1)="A",IF(R78&lt;-0.05,"2 FIX","1 PROTECT"),IF(AND(N78&gt;=300000,OR(P78="new",R78&gt;=0.25),LEFT(L78,1)&lt;&gt;"-"),"3 SCALE","4 MAINTAIN"))</f>
        <v>1 PROTECT</v>
      </c>
      <c r="R78" s="14" t="n">
        <f aca="false">IF(M78&lt;1000,0,N78/M78-1)</f>
        <v>1.32225738396624</v>
      </c>
    </row>
    <row r="79" customFormat="false" ht="15" hidden="false" customHeight="false" outlineLevel="0" collapsed="false">
      <c r="A79" s="25" t="n">
        <f aca="false">ROW()-5</f>
        <v>74</v>
      </c>
      <c r="B79" s="4" t="s">
        <v>404</v>
      </c>
      <c r="C79" s="4" t="s">
        <v>405</v>
      </c>
      <c r="D79" s="4" t="s">
        <v>78</v>
      </c>
      <c r="E79" s="4" t="s">
        <v>152</v>
      </c>
      <c r="F79" s="16" t="n">
        <v>1100571.42857143</v>
      </c>
      <c r="G79" s="14" t="n">
        <f aca="false">IF(SUMIFS(F$6:F$473,D$6:D$473,D79,E$6:E$473,E79)=0,0,F79/SUMIFS(F$6:F$473,D$6:D$473,D79,E$6:E$473,E79))</f>
        <v>0.02270672926017</v>
      </c>
      <c r="H79" s="5" t="n">
        <f aca="false">SUMIFS(Pareto_Categories!$G$6:$G$84,Pareto_Categories!$B$6:$B$84,D79,Pareto_Categories!$C$6:$C$84,E79)</f>
        <v>175.162640843516</v>
      </c>
      <c r="I79" s="28" t="n">
        <f aca="false">G79*H79</f>
        <v>3.97737066213011</v>
      </c>
      <c r="J79" s="29" t="n">
        <f aca="false">I79/$I$475</f>
        <v>0.00343807624353955</v>
      </c>
      <c r="K79" s="14" t="n">
        <f aca="false">SUM(J$6:J79)</f>
        <v>0.729264701403635</v>
      </c>
      <c r="L79" s="4" t="str">
        <f aca="false">IF(I79&lt;=0,"-",IF(K79-J79&lt;0.8,"A - top 80%",IF(K79-J79&lt;0.95,"B - next 15%","C - tail")))</f>
        <v>A - top 80%</v>
      </c>
      <c r="M79" s="16" t="n">
        <v>0</v>
      </c>
      <c r="N79" s="16" t="n">
        <v>2105789.28571429</v>
      </c>
      <c r="O79" s="17" t="n">
        <f aca="false">N79-M79</f>
        <v>2105789.28571429</v>
      </c>
      <c r="P79" s="14" t="str">
        <f aca="false">IF(M79&lt;1000,"new",R79)</f>
        <v>new</v>
      </c>
      <c r="Q79" s="4" t="str">
        <f aca="false">IF(LEFT(L79,1)="A",IF(R79&lt;-0.05,"2 FIX","1 PROTECT"),IF(AND(N79&gt;=300000,OR(P79="new",R79&gt;=0.25),LEFT(L79,1)&lt;&gt;"-"),"3 SCALE","4 MAINTAIN"))</f>
        <v>1 PROTECT</v>
      </c>
      <c r="R79" s="14" t="n">
        <f aca="false">IF(M79&lt;1000,0,N79/M79-1)</f>
        <v>0</v>
      </c>
    </row>
    <row r="80" customFormat="false" ht="15" hidden="false" customHeight="false" outlineLevel="0" collapsed="false">
      <c r="A80" s="25" t="n">
        <f aca="false">ROW()-5</f>
        <v>75</v>
      </c>
      <c r="B80" s="4" t="s">
        <v>406</v>
      </c>
      <c r="C80" s="4" t="s">
        <v>407</v>
      </c>
      <c r="D80" s="4" t="s">
        <v>78</v>
      </c>
      <c r="E80" s="4" t="s">
        <v>163</v>
      </c>
      <c r="F80" s="16" t="n">
        <v>1317635.71428571</v>
      </c>
      <c r="G80" s="14" t="n">
        <f aca="false">IF(SUMIFS(F$6:F$473,D$6:D$473,D80,E$6:E$473,E80)=0,0,F80/SUMIFS(F$6:F$473,D$6:D$473,D80,E$6:E$473,E80))</f>
        <v>0.194644402048565</v>
      </c>
      <c r="H80" s="5" t="n">
        <f aca="false">SUMIFS(Pareto_Categories!$G$6:$G$84,Pareto_Categories!$B$6:$B$84,D80,Pareto_Categories!$C$6:$C$84,E80)</f>
        <v>20.2211384933392</v>
      </c>
      <c r="I80" s="28" t="n">
        <f aca="false">G80*H80</f>
        <v>3.93593141077722</v>
      </c>
      <c r="J80" s="29" t="n">
        <f aca="false">I80/$I$475</f>
        <v>0.00340225576872614</v>
      </c>
      <c r="K80" s="14" t="n">
        <f aca="false">SUM(J$6:J80)</f>
        <v>0.732666957172361</v>
      </c>
      <c r="L80" s="4" t="str">
        <f aca="false">IF(I80&lt;=0,"-",IF(K80-J80&lt;0.8,"A - top 80%",IF(K80-J80&lt;0.95,"B - next 15%","C - tail")))</f>
        <v>A - top 80%</v>
      </c>
      <c r="M80" s="16" t="n">
        <v>3105864.91071429</v>
      </c>
      <c r="N80" s="16" t="n">
        <v>2894344.13392857</v>
      </c>
      <c r="O80" s="17" t="n">
        <f aca="false">N80-M80</f>
        <v>-211520.776785714</v>
      </c>
      <c r="P80" s="14" t="n">
        <f aca="false">IF(M80&lt;1000,"new",R80)</f>
        <v>-0.0681036628657068</v>
      </c>
      <c r="Q80" s="4" t="str">
        <f aca="false">IF(LEFT(L80,1)="A",IF(R80&lt;-0.05,"2 FIX","1 PROTECT"),IF(AND(N80&gt;=300000,OR(P80="new",R80&gt;=0.25),LEFT(L80,1)&lt;&gt;"-"),"3 SCALE","4 MAINTAIN"))</f>
        <v>2 FIX</v>
      </c>
      <c r="R80" s="14" t="n">
        <f aca="false">IF(M80&lt;1000,0,N80/M80-1)</f>
        <v>-0.0681036628657068</v>
      </c>
    </row>
    <row r="81" customFormat="false" ht="15" hidden="false" customHeight="false" outlineLevel="0" collapsed="false">
      <c r="A81" s="25" t="n">
        <f aca="false">ROW()-5</f>
        <v>76</v>
      </c>
      <c r="B81" s="4" t="s">
        <v>408</v>
      </c>
      <c r="C81" s="4" t="s">
        <v>409</v>
      </c>
      <c r="D81" s="4" t="s">
        <v>78</v>
      </c>
      <c r="E81" s="4" t="s">
        <v>153</v>
      </c>
      <c r="F81" s="16" t="n">
        <v>868609.821428571</v>
      </c>
      <c r="G81" s="14" t="n">
        <f aca="false">IF(SUMIFS(F$6:F$473,D$6:D$473,D81,E$6:E$473,E81)=0,0,F81/SUMIFS(F$6:F$473,D$6:D$473,D81,E$6:E$473,E81))</f>
        <v>0.0257260293731617</v>
      </c>
      <c r="H81" s="5" t="n">
        <f aca="false">SUMIFS(Pareto_Categories!$G$6:$G$84,Pareto_Categories!$B$6:$B$84,D81,Pareto_Categories!$C$6:$C$84,E81)</f>
        <v>152.006736079647</v>
      </c>
      <c r="I81" s="28" t="n">
        <f aca="false">G81*H81</f>
        <v>3.91052975730343</v>
      </c>
      <c r="J81" s="29" t="n">
        <f aca="false">I81/$I$475</f>
        <v>0.0033802983428854</v>
      </c>
      <c r="K81" s="14" t="n">
        <f aca="false">SUM(J$6:J81)</f>
        <v>0.736047255515246</v>
      </c>
      <c r="L81" s="4" t="str">
        <f aca="false">IF(I81&lt;=0,"-",IF(K81-J81&lt;0.8,"A - top 80%",IF(K81-J81&lt;0.95,"B - next 15%","C - tail")))</f>
        <v>A - top 80%</v>
      </c>
      <c r="M81" s="16" t="n">
        <v>2068412.5</v>
      </c>
      <c r="N81" s="16" t="n">
        <v>2000782.14285714</v>
      </c>
      <c r="O81" s="17" t="n">
        <f aca="false">N81-M81</f>
        <v>-67630.357142857</v>
      </c>
      <c r="P81" s="14" t="n">
        <f aca="false">IF(M81&lt;1000,"new",R81)</f>
        <v>-0.0326967455199855</v>
      </c>
      <c r="Q81" s="4" t="str">
        <f aca="false">IF(LEFT(L81,1)="A",IF(R81&lt;-0.05,"2 FIX","1 PROTECT"),IF(AND(N81&gt;=300000,OR(P81="new",R81&gt;=0.25),LEFT(L81,1)&lt;&gt;"-"),"3 SCALE","4 MAINTAIN"))</f>
        <v>1 PROTECT</v>
      </c>
      <c r="R81" s="14" t="n">
        <f aca="false">IF(M81&lt;1000,0,N81/M81-1)</f>
        <v>-0.0326967455199855</v>
      </c>
    </row>
    <row r="82" customFormat="false" ht="15" hidden="false" customHeight="false" outlineLevel="0" collapsed="false">
      <c r="A82" s="25" t="n">
        <f aca="false">ROW()-5</f>
        <v>77</v>
      </c>
      <c r="B82" s="4" t="s">
        <v>410</v>
      </c>
      <c r="C82" s="4" t="s">
        <v>411</v>
      </c>
      <c r="D82" s="4" t="s">
        <v>78</v>
      </c>
      <c r="E82" s="4" t="s">
        <v>152</v>
      </c>
      <c r="F82" s="16" t="n">
        <v>1073030.90178571</v>
      </c>
      <c r="G82" s="14" t="n">
        <f aca="false">IF(SUMIFS(F$6:F$473,D$6:D$473,D82,E$6:E$473,E82)=0,0,F82/SUMIFS(F$6:F$473,D$6:D$473,D82,E$6:E$473,E82))</f>
        <v>0.02213851962909</v>
      </c>
      <c r="H82" s="5" t="n">
        <f aca="false">SUMIFS(Pareto_Categories!$G$6:$G$84,Pareto_Categories!$B$6:$B$84,D82,Pareto_Categories!$C$6:$C$84,E82)</f>
        <v>175.162640843516</v>
      </c>
      <c r="I82" s="28" t="n">
        <f aca="false">G82*H82</f>
        <v>3.87784156259743</v>
      </c>
      <c r="J82" s="29" t="n">
        <f aca="false">I82/$I$475</f>
        <v>0.00335204236294042</v>
      </c>
      <c r="K82" s="14" t="n">
        <f aca="false">SUM(J$6:J82)</f>
        <v>0.739399297878187</v>
      </c>
      <c r="L82" s="4" t="str">
        <f aca="false">IF(I82&lt;=0,"-",IF(K82-J82&lt;0.8,"A - top 80%",IF(K82-J82&lt;0.95,"B - next 15%","C - tail")))</f>
        <v>A - top 80%</v>
      </c>
      <c r="M82" s="16" t="n">
        <v>2326485.625</v>
      </c>
      <c r="N82" s="16" t="n">
        <v>2335212.15178571</v>
      </c>
      <c r="O82" s="17" t="n">
        <f aca="false">N82-M82</f>
        <v>8726.52678571409</v>
      </c>
      <c r="P82" s="14" t="n">
        <f aca="false">IF(M82&lt;1000,"new",R82)</f>
        <v>0.00375094807891374</v>
      </c>
      <c r="Q82" s="4" t="str">
        <f aca="false">IF(LEFT(L82,1)="A",IF(R82&lt;-0.05,"2 FIX","1 PROTECT"),IF(AND(N82&gt;=300000,OR(P82="new",R82&gt;=0.25),LEFT(L82,1)&lt;&gt;"-"),"3 SCALE","4 MAINTAIN"))</f>
        <v>1 PROTECT</v>
      </c>
      <c r="R82" s="14" t="n">
        <f aca="false">IF(M82&lt;1000,0,N82/M82-1)</f>
        <v>0.00375094807891374</v>
      </c>
    </row>
    <row r="83" customFormat="false" ht="15" hidden="false" customHeight="false" outlineLevel="0" collapsed="false">
      <c r="A83" s="25" t="n">
        <f aca="false">ROW()-5</f>
        <v>78</v>
      </c>
      <c r="B83" s="4" t="s">
        <v>412</v>
      </c>
      <c r="C83" s="4" t="s">
        <v>413</v>
      </c>
      <c r="D83" s="4" t="s">
        <v>78</v>
      </c>
      <c r="E83" s="4" t="s">
        <v>152</v>
      </c>
      <c r="F83" s="16" t="n">
        <v>1069780.35714286</v>
      </c>
      <c r="G83" s="14" t="n">
        <f aca="false">IF(SUMIFS(F$6:F$473,D$6:D$473,D83,E$6:E$473,E83)=0,0,F83/SUMIFS(F$6:F$473,D$6:D$473,D83,E$6:E$473,E83))</f>
        <v>0.0220714551612715</v>
      </c>
      <c r="H83" s="5" t="n">
        <f aca="false">SUMIFS(Pareto_Categories!$G$6:$G$84,Pareto_Categories!$B$6:$B$84,D83,Pareto_Categories!$C$6:$C$84,E83)</f>
        <v>175.162640843516</v>
      </c>
      <c r="I83" s="28" t="n">
        <f aca="false">G83*H83</f>
        <v>3.86609437330757</v>
      </c>
      <c r="J83" s="29" t="n">
        <f aca="false">I83/$I$475</f>
        <v>0.00334188798311096</v>
      </c>
      <c r="K83" s="14" t="n">
        <f aca="false">SUM(J$6:J83)</f>
        <v>0.742741185861298</v>
      </c>
      <c r="L83" s="4" t="str">
        <f aca="false">IF(I83&lt;=0,"-",IF(K83-J83&lt;0.8,"A - top 80%",IF(K83-J83&lt;0.95,"B - next 15%","C - tail")))</f>
        <v>A - top 80%</v>
      </c>
      <c r="M83" s="16" t="n">
        <v>1733157.14285714</v>
      </c>
      <c r="N83" s="16" t="n">
        <v>1952216.07142857</v>
      </c>
      <c r="O83" s="17" t="n">
        <f aca="false">N83-M83</f>
        <v>219058.928571428</v>
      </c>
      <c r="P83" s="14" t="n">
        <f aca="false">IF(M83&lt;1000,"new",R83)</f>
        <v>0.126392998738882</v>
      </c>
      <c r="Q83" s="4" t="str">
        <f aca="false">IF(LEFT(L83,1)="A",IF(R83&lt;-0.05,"2 FIX","1 PROTECT"),IF(AND(N83&gt;=300000,OR(P83="new",R83&gt;=0.25),LEFT(L83,1)&lt;&gt;"-"),"3 SCALE","4 MAINTAIN"))</f>
        <v>1 PROTECT</v>
      </c>
      <c r="R83" s="14" t="n">
        <f aca="false">IF(M83&lt;1000,0,N83/M83-1)</f>
        <v>0.126392998738882</v>
      </c>
    </row>
    <row r="84" customFormat="false" ht="15" hidden="false" customHeight="false" outlineLevel="0" collapsed="false">
      <c r="A84" s="25" t="n">
        <f aca="false">ROW()-5</f>
        <v>79</v>
      </c>
      <c r="B84" s="4" t="s">
        <v>414</v>
      </c>
      <c r="C84" s="4" t="s">
        <v>415</v>
      </c>
      <c r="D84" s="4" t="s">
        <v>78</v>
      </c>
      <c r="E84" s="4" t="s">
        <v>152</v>
      </c>
      <c r="F84" s="16" t="n">
        <v>1068764.34821429</v>
      </c>
      <c r="G84" s="14" t="n">
        <f aca="false">IF(SUMIFS(F$6:F$473,D$6:D$473,D84,E$6:E$473,E84)=0,0,F84/SUMIFS(F$6:F$473,D$6:D$473,D84,E$6:E$473,E84))</f>
        <v>0.0220504931054993</v>
      </c>
      <c r="H84" s="5" t="n">
        <f aca="false">SUMIFS(Pareto_Categories!$G$6:$G$84,Pareto_Categories!$B$6:$B$84,D84,Pareto_Categories!$C$6:$C$84,E84)</f>
        <v>175.162640843516</v>
      </c>
      <c r="I84" s="28" t="n">
        <f aca="false">G84*H84</f>
        <v>3.862422604261</v>
      </c>
      <c r="J84" s="29" t="n">
        <f aca="false">I84/$I$475</f>
        <v>0.00333871407175013</v>
      </c>
      <c r="K84" s="14" t="n">
        <f aca="false">SUM(J$6:J84)</f>
        <v>0.746079899933048</v>
      </c>
      <c r="L84" s="4" t="str">
        <f aca="false">IF(I84&lt;=0,"-",IF(K84-J84&lt;0.8,"A - top 80%",IF(K84-J84&lt;0.95,"B - next 15%","C - tail")))</f>
        <v>A - top 80%</v>
      </c>
      <c r="M84" s="16" t="n">
        <v>2001431</v>
      </c>
      <c r="N84" s="16" t="n">
        <v>2000010.77678571</v>
      </c>
      <c r="O84" s="17" t="n">
        <f aca="false">N84-M84</f>
        <v>-1420.22321428591</v>
      </c>
      <c r="P84" s="14" t="n">
        <f aca="false">IF(M84&lt;1000,"new",R84)</f>
        <v>-0.000709603885562848</v>
      </c>
      <c r="Q84" s="4" t="str">
        <f aca="false">IF(LEFT(L84,1)="A",IF(R84&lt;-0.05,"2 FIX","1 PROTECT"),IF(AND(N84&gt;=300000,OR(P84="new",R84&gt;=0.25),LEFT(L84,1)&lt;&gt;"-"),"3 SCALE","4 MAINTAIN"))</f>
        <v>1 PROTECT</v>
      </c>
      <c r="R84" s="14" t="n">
        <f aca="false">IF(M84&lt;1000,0,N84/M84-1)</f>
        <v>-0.000709603885562848</v>
      </c>
    </row>
    <row r="85" customFormat="false" ht="15" hidden="false" customHeight="false" outlineLevel="0" collapsed="false">
      <c r="A85" s="25" t="n">
        <f aca="false">ROW()-5</f>
        <v>80</v>
      </c>
      <c r="B85" s="4" t="s">
        <v>416</v>
      </c>
      <c r="C85" s="4" t="s">
        <v>417</v>
      </c>
      <c r="D85" s="4" t="s">
        <v>78</v>
      </c>
      <c r="E85" s="4" t="s">
        <v>158</v>
      </c>
      <c r="F85" s="16" t="n">
        <v>1425910.97321429</v>
      </c>
      <c r="G85" s="14" t="n">
        <f aca="false">IF(SUMIFS(F$6:F$473,D$6:D$473,D85,E$6:E$473,E85)=0,0,F85/SUMIFS(F$6:F$473,D$6:D$473,D85,E$6:E$473,E85))</f>
        <v>0.11562554834783</v>
      </c>
      <c r="H85" s="5" t="n">
        <f aca="false">SUMIFS(Pareto_Categories!$G$6:$G$84,Pareto_Categories!$B$6:$B$84,D85,Pareto_Categories!$C$6:$C$84,E85)</f>
        <v>33.2897401825497</v>
      </c>
      <c r="I85" s="28" t="n">
        <f aca="false">G85*H85</f>
        <v>3.8491444629641</v>
      </c>
      <c r="J85" s="29" t="n">
        <f aca="false">I85/$I$475</f>
        <v>0.00332723632274727</v>
      </c>
      <c r="K85" s="14" t="n">
        <f aca="false">SUM(J$6:J85)</f>
        <v>0.749407136255795</v>
      </c>
      <c r="L85" s="4" t="str">
        <f aca="false">IF(I85&lt;=0,"-",IF(K85-J85&lt;0.8,"A - top 80%",IF(K85-J85&lt;0.95,"B - next 15%","C - tail")))</f>
        <v>A - top 80%</v>
      </c>
      <c r="M85" s="16" t="n">
        <v>0</v>
      </c>
      <c r="N85" s="16" t="n">
        <v>1425910.97321429</v>
      </c>
      <c r="O85" s="17" t="n">
        <f aca="false">N85-M85</f>
        <v>1425910.97321429</v>
      </c>
      <c r="P85" s="14" t="str">
        <f aca="false">IF(M85&lt;1000,"new",R85)</f>
        <v>new</v>
      </c>
      <c r="Q85" s="4" t="str">
        <f aca="false">IF(LEFT(L85,1)="A",IF(R85&lt;-0.05,"2 FIX","1 PROTECT"),IF(AND(N85&gt;=300000,OR(P85="new",R85&gt;=0.25),LEFT(L85,1)&lt;&gt;"-"),"3 SCALE","4 MAINTAIN"))</f>
        <v>1 PROTECT</v>
      </c>
      <c r="R85" s="14" t="n">
        <f aca="false">IF(M85&lt;1000,0,N85/M85-1)</f>
        <v>0</v>
      </c>
    </row>
    <row r="86" customFormat="false" ht="15" hidden="false" customHeight="false" outlineLevel="0" collapsed="false">
      <c r="A86" s="25" t="n">
        <f aca="false">ROW()-5</f>
        <v>81</v>
      </c>
      <c r="B86" s="4" t="s">
        <v>418</v>
      </c>
      <c r="C86" s="4" t="s">
        <v>419</v>
      </c>
      <c r="D86" s="4" t="s">
        <v>78</v>
      </c>
      <c r="E86" s="4" t="s">
        <v>152</v>
      </c>
      <c r="F86" s="16" t="n">
        <v>1054841.96428571</v>
      </c>
      <c r="G86" s="14" t="n">
        <f aca="false">IF(SUMIFS(F$6:F$473,D$6:D$473,D86,E$6:E$473,E86)=0,0,F86/SUMIFS(F$6:F$473,D$6:D$473,D86,E$6:E$473,E86))</f>
        <v>0.0217632497750663</v>
      </c>
      <c r="H86" s="5" t="n">
        <f aca="false">SUMIFS(Pareto_Categories!$G$6:$G$84,Pareto_Categories!$B$6:$B$84,D86,Pareto_Categories!$C$6:$C$84,E86)</f>
        <v>175.162640843516</v>
      </c>
      <c r="I86" s="28" t="n">
        <f aca="false">G86*H86</f>
        <v>3.81210830393768</v>
      </c>
      <c r="J86" s="29" t="n">
        <f aca="false">I86/$I$475</f>
        <v>0.00329522192194901</v>
      </c>
      <c r="K86" s="14" t="n">
        <f aca="false">SUM(J$6:J86)</f>
        <v>0.752702358177744</v>
      </c>
      <c r="L86" s="4" t="str">
        <f aca="false">IF(I86&lt;=0,"-",IF(K86-J86&lt;0.8,"A - top 80%",IF(K86-J86&lt;0.95,"B - next 15%","C - tail")))</f>
        <v>A - top 80%</v>
      </c>
      <c r="M86" s="16" t="n">
        <v>1743466.45535714</v>
      </c>
      <c r="N86" s="16" t="n">
        <v>1974133.41964286</v>
      </c>
      <c r="O86" s="17" t="n">
        <f aca="false">N86-M86</f>
        <v>230666.964285714</v>
      </c>
      <c r="P86" s="14" t="n">
        <f aca="false">IF(M86&lt;1000,"new",R86)</f>
        <v>0.132303643455224</v>
      </c>
      <c r="Q86" s="4" t="str">
        <f aca="false">IF(LEFT(L86,1)="A",IF(R86&lt;-0.05,"2 FIX","1 PROTECT"),IF(AND(N86&gt;=300000,OR(P86="new",R86&gt;=0.25),LEFT(L86,1)&lt;&gt;"-"),"3 SCALE","4 MAINTAIN"))</f>
        <v>1 PROTECT</v>
      </c>
      <c r="R86" s="14" t="n">
        <f aca="false">IF(M86&lt;1000,0,N86/M86-1)</f>
        <v>0.132303643455224</v>
      </c>
    </row>
    <row r="87" customFormat="false" ht="15" hidden="false" customHeight="false" outlineLevel="0" collapsed="false">
      <c r="A87" s="25" t="n">
        <f aca="false">ROW()-5</f>
        <v>82</v>
      </c>
      <c r="B87" s="4" t="s">
        <v>420</v>
      </c>
      <c r="C87" s="4" t="s">
        <v>421</v>
      </c>
      <c r="D87" s="4" t="s">
        <v>83</v>
      </c>
      <c r="E87" s="4" t="s">
        <v>164</v>
      </c>
      <c r="F87" s="16" t="n">
        <v>114.285714285714</v>
      </c>
      <c r="G87" s="14" t="n">
        <f aca="false">IF(SUMIFS(F$6:F$473,D$6:D$473,D87,E$6:E$473,E87)=0,0,F87/SUMIFS(F$6:F$473,D$6:D$473,D87,E$6:E$473,E87))</f>
        <v>1</v>
      </c>
      <c r="H87" s="5" t="n">
        <f aca="false">SUMIFS(Pareto_Categories!$G$6:$G$84,Pareto_Categories!$B$6:$B$84,D87,Pareto_Categories!$C$6:$C$84,E87)</f>
        <v>3.79475308305457</v>
      </c>
      <c r="I87" s="28" t="n">
        <f aca="false">G87*H87</f>
        <v>3.79475308305457</v>
      </c>
      <c r="J87" s="29" t="n">
        <f aca="false">I87/$I$475</f>
        <v>0.00328021990738001</v>
      </c>
      <c r="K87" s="14" t="n">
        <f aca="false">SUM(J$6:J87)</f>
        <v>0.755982578085124</v>
      </c>
      <c r="L87" s="4" t="str">
        <f aca="false">IF(I87&lt;=0,"-",IF(K87-J87&lt;0.8,"A - top 80%",IF(K87-J87&lt;0.95,"B - next 15%","C - tail")))</f>
        <v>A - top 80%</v>
      </c>
      <c r="M87" s="16" t="n">
        <v>0</v>
      </c>
      <c r="N87" s="16" t="n">
        <v>114.285714285714</v>
      </c>
      <c r="O87" s="17" t="n">
        <f aca="false">N87-M87</f>
        <v>114.285714285714</v>
      </c>
      <c r="P87" s="14" t="str">
        <f aca="false">IF(M87&lt;1000,"new",R87)</f>
        <v>new</v>
      </c>
      <c r="Q87" s="4" t="str">
        <f aca="false">IF(LEFT(L87,1)="A",IF(R87&lt;-0.05,"2 FIX","1 PROTECT"),IF(AND(N87&gt;=300000,OR(P87="new",R87&gt;=0.25),LEFT(L87,1)&lt;&gt;"-"),"3 SCALE","4 MAINTAIN"))</f>
        <v>1 PROTECT</v>
      </c>
      <c r="R87" s="14" t="n">
        <f aca="false">IF(M87&lt;1000,0,N87/M87-1)</f>
        <v>0</v>
      </c>
    </row>
    <row r="88" customFormat="false" ht="15" hidden="false" customHeight="false" outlineLevel="0" collapsed="false">
      <c r="A88" s="25" t="n">
        <f aca="false">ROW()-5</f>
        <v>83</v>
      </c>
      <c r="B88" s="4" t="s">
        <v>422</v>
      </c>
      <c r="C88" s="4" t="s">
        <v>423</v>
      </c>
      <c r="D88" s="4" t="s">
        <v>78</v>
      </c>
      <c r="E88" s="4" t="s">
        <v>152</v>
      </c>
      <c r="F88" s="16" t="n">
        <v>1042863.64285714</v>
      </c>
      <c r="G88" s="14" t="n">
        <f aca="false">IF(SUMIFS(F$6:F$473,D$6:D$473,D88,E$6:E$473,E88)=0,0,F88/SUMIFS(F$6:F$473,D$6:D$473,D88,E$6:E$473,E88))</f>
        <v>0.0215161158820641</v>
      </c>
      <c r="H88" s="5" t="n">
        <f aca="false">SUMIFS(Pareto_Categories!$G$6:$G$84,Pareto_Categories!$B$6:$B$84,D88,Pareto_Categories!$C$6:$C$84,E88)</f>
        <v>175.162640843516</v>
      </c>
      <c r="I88" s="28" t="n">
        <f aca="false">G88*H88</f>
        <v>3.76881967859748</v>
      </c>
      <c r="J88" s="29" t="n">
        <f aca="false">I88/$I$475</f>
        <v>0.00325780283103684</v>
      </c>
      <c r="K88" s="14" t="n">
        <f aca="false">SUM(J$6:J88)</f>
        <v>0.759240380916161</v>
      </c>
      <c r="L88" s="4" t="str">
        <f aca="false">IF(I88&lt;=0,"-",IF(K88-J88&lt;0.8,"A - top 80%",IF(K88-J88&lt;0.95,"B - next 15%","C - tail")))</f>
        <v>A - top 80%</v>
      </c>
      <c r="M88" s="16" t="n">
        <v>2442565.30357143</v>
      </c>
      <c r="N88" s="16" t="n">
        <v>2231062.875</v>
      </c>
      <c r="O88" s="17" t="n">
        <f aca="false">N88-M88</f>
        <v>-211502.428571428</v>
      </c>
      <c r="P88" s="14" t="n">
        <f aca="false">IF(M88&lt;1000,"new",R88)</f>
        <v>-0.0865902861480007</v>
      </c>
      <c r="Q88" s="4" t="str">
        <f aca="false">IF(LEFT(L88,1)="A",IF(R88&lt;-0.05,"2 FIX","1 PROTECT"),IF(AND(N88&gt;=300000,OR(P88="new",R88&gt;=0.25),LEFT(L88,1)&lt;&gt;"-"),"3 SCALE","4 MAINTAIN"))</f>
        <v>2 FIX</v>
      </c>
      <c r="R88" s="14" t="n">
        <f aca="false">IF(M88&lt;1000,0,N88/M88-1)</f>
        <v>-0.0865902861480007</v>
      </c>
    </row>
    <row r="89" customFormat="false" ht="15" hidden="false" customHeight="false" outlineLevel="0" collapsed="false">
      <c r="A89" s="25" t="n">
        <f aca="false">ROW()-5</f>
        <v>84</v>
      </c>
      <c r="B89" s="4" t="s">
        <v>424</v>
      </c>
      <c r="C89" s="4" t="s">
        <v>425</v>
      </c>
      <c r="D89" s="4" t="s">
        <v>78</v>
      </c>
      <c r="E89" s="4" t="s">
        <v>152</v>
      </c>
      <c r="F89" s="16" t="n">
        <v>1041582.14285714</v>
      </c>
      <c r="G89" s="14" t="n">
        <f aca="false">IF(SUMIFS(F$6:F$473,D$6:D$473,D89,E$6:E$473,E89)=0,0,F89/SUMIFS(F$6:F$473,D$6:D$473,D89,E$6:E$473,E89))</f>
        <v>0.0214896762773356</v>
      </c>
      <c r="H89" s="5" t="n">
        <f aca="false">SUMIFS(Pareto_Categories!$G$6:$G$84,Pareto_Categories!$B$6:$B$84,D89,Pareto_Categories!$C$6:$C$84,E89)</f>
        <v>175.162640843516</v>
      </c>
      <c r="I89" s="28" t="n">
        <f aca="false">G89*H89</f>
        <v>3.76418844761037</v>
      </c>
      <c r="J89" s="29" t="n">
        <f aca="false">I89/$I$475</f>
        <v>0.00325379955183868</v>
      </c>
      <c r="K89" s="14" t="n">
        <f aca="false">SUM(J$6:J89)</f>
        <v>0.762494180468</v>
      </c>
      <c r="L89" s="4" t="str">
        <f aca="false">IF(I89&lt;=0,"-",IF(K89-J89&lt;0.8,"A - top 80%",IF(K89-J89&lt;0.95,"B - next 15%","C - tail")))</f>
        <v>A - top 80%</v>
      </c>
      <c r="M89" s="16" t="n">
        <v>2295393.75</v>
      </c>
      <c r="N89" s="16" t="n">
        <v>2160963.39285714</v>
      </c>
      <c r="O89" s="17" t="n">
        <f aca="false">N89-M89</f>
        <v>-134430.357142857</v>
      </c>
      <c r="P89" s="14" t="n">
        <f aca="false">IF(M89&lt;1000,"new",R89)</f>
        <v>-0.0585652710533244</v>
      </c>
      <c r="Q89" s="4" t="str">
        <f aca="false">IF(LEFT(L89,1)="A",IF(R89&lt;-0.05,"2 FIX","1 PROTECT"),IF(AND(N89&gt;=300000,OR(P89="new",R89&gt;=0.25),LEFT(L89,1)&lt;&gt;"-"),"3 SCALE","4 MAINTAIN"))</f>
        <v>2 FIX</v>
      </c>
      <c r="R89" s="14" t="n">
        <f aca="false">IF(M89&lt;1000,0,N89/M89-1)</f>
        <v>-0.0585652710533244</v>
      </c>
    </row>
    <row r="90" customFormat="false" ht="15" hidden="false" customHeight="false" outlineLevel="0" collapsed="false">
      <c r="A90" s="25" t="n">
        <f aca="false">ROW()-5</f>
        <v>85</v>
      </c>
      <c r="B90" s="4" t="s">
        <v>426</v>
      </c>
      <c r="C90" s="4" t="s">
        <v>427</v>
      </c>
      <c r="D90" s="4" t="s">
        <v>78</v>
      </c>
      <c r="E90" s="4" t="s">
        <v>157</v>
      </c>
      <c r="F90" s="16" t="n">
        <v>1235566.07142857</v>
      </c>
      <c r="G90" s="14" t="n">
        <f aca="false">IF(SUMIFS(F$6:F$473,D$6:D$473,D90,E$6:E$473,E90)=0,0,F90/SUMIFS(F$6:F$473,D$6:D$473,D90,E$6:E$473,E90))</f>
        <v>0.0956981855347847</v>
      </c>
      <c r="H90" s="5" t="n">
        <f aca="false">SUMIFS(Pareto_Categories!$G$6:$G$84,Pareto_Categories!$B$6:$B$84,D90,Pareto_Categories!$C$6:$C$84,E90)</f>
        <v>38.9811115222903</v>
      </c>
      <c r="I90" s="28" t="n">
        <f aca="false">G90*H90</f>
        <v>3.73042164281227</v>
      </c>
      <c r="J90" s="29" t="n">
        <f aca="false">I90/$I$475</f>
        <v>0.00322461121128447</v>
      </c>
      <c r="K90" s="14" t="n">
        <f aca="false">SUM(J$6:J90)</f>
        <v>0.765718791679284</v>
      </c>
      <c r="L90" s="4" t="str">
        <f aca="false">IF(I90&lt;=0,"-",IF(K90-J90&lt;0.8,"A - top 80%",IF(K90-J90&lt;0.95,"B - next 15%","C - tail")))</f>
        <v>A - top 80%</v>
      </c>
      <c r="M90" s="16" t="n">
        <v>2402731.82142857</v>
      </c>
      <c r="N90" s="16" t="n">
        <v>2619423.21428571</v>
      </c>
      <c r="O90" s="17" t="n">
        <f aca="false">N90-M90</f>
        <v>216691.392857143</v>
      </c>
      <c r="P90" s="14" t="n">
        <f aca="false">IF(M90&lt;1000,"new",R90)</f>
        <v>0.0901854259907819</v>
      </c>
      <c r="Q90" s="4" t="str">
        <f aca="false">IF(LEFT(L90,1)="A",IF(R90&lt;-0.05,"2 FIX","1 PROTECT"),IF(AND(N90&gt;=300000,OR(P90="new",R90&gt;=0.25),LEFT(L90,1)&lt;&gt;"-"),"3 SCALE","4 MAINTAIN"))</f>
        <v>1 PROTECT</v>
      </c>
      <c r="R90" s="14" t="n">
        <f aca="false">IF(M90&lt;1000,0,N90/M90-1)</f>
        <v>0.0901854259907819</v>
      </c>
    </row>
    <row r="91" customFormat="false" ht="15" hidden="false" customHeight="false" outlineLevel="0" collapsed="false">
      <c r="A91" s="25" t="n">
        <f aca="false">ROW()-5</f>
        <v>86</v>
      </c>
      <c r="B91" s="4" t="s">
        <v>428</v>
      </c>
      <c r="C91" s="4" t="s">
        <v>429</v>
      </c>
      <c r="D91" s="4" t="s">
        <v>78</v>
      </c>
      <c r="E91" s="4" t="s">
        <v>161</v>
      </c>
      <c r="F91" s="16" t="n">
        <v>1030253.57142857</v>
      </c>
      <c r="G91" s="14" t="n">
        <f aca="false">IF(SUMIFS(F$6:F$473,D$6:D$473,D91,E$6:E$473,E91)=0,0,F91/SUMIFS(F$6:F$473,D$6:D$473,D91,E$6:E$473,E91))</f>
        <v>0.1536248994621</v>
      </c>
      <c r="H91" s="5" t="n">
        <f aca="false">SUMIFS(Pareto_Categories!$G$6:$G$84,Pareto_Categories!$B$6:$B$84,D91,Pareto_Categories!$C$6:$C$84,E91)</f>
        <v>23.2065327013405</v>
      </c>
      <c r="I91" s="28" t="n">
        <f aca="false">G91*H91</f>
        <v>3.56510125310736</v>
      </c>
      <c r="J91" s="29" t="n">
        <f aca="false">I91/$I$475</f>
        <v>0.00308170672671406</v>
      </c>
      <c r="K91" s="14" t="n">
        <f aca="false">SUM(J$6:J91)</f>
        <v>0.768800498405998</v>
      </c>
      <c r="L91" s="4" t="str">
        <f aca="false">IF(I91&lt;=0,"-",IF(K91-J91&lt;0.8,"A - top 80%",IF(K91-J91&lt;0.95,"B - next 15%","C - tail")))</f>
        <v>A - top 80%</v>
      </c>
      <c r="M91" s="16" t="n">
        <v>2395662.26785714</v>
      </c>
      <c r="N91" s="16" t="n">
        <v>2201918.20535714</v>
      </c>
      <c r="O91" s="17" t="n">
        <f aca="false">N91-M91</f>
        <v>-193744.0625</v>
      </c>
      <c r="P91" s="14" t="n">
        <f aca="false">IF(M91&lt;1000,"new",R91)</f>
        <v>-0.0808728613792874</v>
      </c>
      <c r="Q91" s="4" t="str">
        <f aca="false">IF(LEFT(L91,1)="A",IF(R91&lt;-0.05,"2 FIX","1 PROTECT"),IF(AND(N91&gt;=300000,OR(P91="new",R91&gt;=0.25),LEFT(L91,1)&lt;&gt;"-"),"3 SCALE","4 MAINTAIN"))</f>
        <v>2 FIX</v>
      </c>
      <c r="R91" s="14" t="n">
        <f aca="false">IF(M91&lt;1000,0,N91/M91-1)</f>
        <v>-0.0808728613792874</v>
      </c>
    </row>
    <row r="92" customFormat="false" ht="15" hidden="false" customHeight="false" outlineLevel="0" collapsed="false">
      <c r="A92" s="25" t="n">
        <f aca="false">ROW()-5</f>
        <v>87</v>
      </c>
      <c r="B92" s="4" t="s">
        <v>430</v>
      </c>
      <c r="C92" s="4" t="s">
        <v>431</v>
      </c>
      <c r="D92" s="4" t="s">
        <v>78</v>
      </c>
      <c r="E92" s="4" t="s">
        <v>152</v>
      </c>
      <c r="F92" s="16" t="n">
        <v>982187.5</v>
      </c>
      <c r="G92" s="14" t="n">
        <f aca="false">IF(SUMIFS(F$6:F$473,D$6:D$473,D92,E$6:E$473,E92)=0,0,F92/SUMIFS(F$6:F$473,D$6:D$473,D92,E$6:E$473,E92))</f>
        <v>0.0202642600618591</v>
      </c>
      <c r="H92" s="5" t="n">
        <f aca="false">SUMIFS(Pareto_Categories!$G$6:$G$84,Pareto_Categories!$B$6:$B$84,D92,Pareto_Categories!$C$6:$C$84,E92)</f>
        <v>175.162640843516</v>
      </c>
      <c r="I92" s="28" t="n">
        <f aca="false">G92*H92</f>
        <v>3.54954130717503</v>
      </c>
      <c r="J92" s="29" t="n">
        <f aca="false">I92/$I$475</f>
        <v>0.00306825656453278</v>
      </c>
      <c r="K92" s="14" t="n">
        <f aca="false">SUM(J$6:J92)</f>
        <v>0.771868754970531</v>
      </c>
      <c r="L92" s="4" t="str">
        <f aca="false">IF(I92&lt;=0,"-",IF(K92-J92&lt;0.8,"A - top 80%",IF(K92-J92&lt;0.95,"B - next 15%","C - tail")))</f>
        <v>A - top 80%</v>
      </c>
      <c r="M92" s="16" t="n">
        <v>1844155.80357143</v>
      </c>
      <c r="N92" s="16" t="n">
        <v>2003806.91964286</v>
      </c>
      <c r="O92" s="17" t="n">
        <f aca="false">N92-M92</f>
        <v>159651.116071429</v>
      </c>
      <c r="P92" s="14" t="n">
        <f aca="false">IF(M92&lt;1000,"new",R92)</f>
        <v>0.0865713817467297</v>
      </c>
      <c r="Q92" s="4" t="str">
        <f aca="false">IF(LEFT(L92,1)="A",IF(R92&lt;-0.05,"2 FIX","1 PROTECT"),IF(AND(N92&gt;=300000,OR(P92="new",R92&gt;=0.25),LEFT(L92,1)&lt;&gt;"-"),"3 SCALE","4 MAINTAIN"))</f>
        <v>1 PROTECT</v>
      </c>
      <c r="R92" s="14" t="n">
        <f aca="false">IF(M92&lt;1000,0,N92/M92-1)</f>
        <v>0.0865713817467297</v>
      </c>
    </row>
    <row r="93" customFormat="false" ht="15" hidden="false" customHeight="false" outlineLevel="0" collapsed="false">
      <c r="A93" s="25" t="n">
        <f aca="false">ROW()-5</f>
        <v>88</v>
      </c>
      <c r="B93" s="4" t="s">
        <v>432</v>
      </c>
      <c r="C93" s="4" t="s">
        <v>433</v>
      </c>
      <c r="D93" s="4" t="s">
        <v>78</v>
      </c>
      <c r="E93" s="4" t="s">
        <v>153</v>
      </c>
      <c r="F93" s="16" t="n">
        <v>769908.928571429</v>
      </c>
      <c r="G93" s="14" t="n">
        <f aca="false">IF(SUMIFS(F$6:F$473,D$6:D$473,D93,E$6:E$473,E93)=0,0,F93/SUMIFS(F$6:F$473,D$6:D$473,D93,E$6:E$473,E93))</f>
        <v>0.0228027581803216</v>
      </c>
      <c r="H93" s="5" t="n">
        <f aca="false">SUMIFS(Pareto_Categories!$G$6:$G$84,Pareto_Categories!$B$6:$B$84,D93,Pareto_Categories!$C$6:$C$84,E93)</f>
        <v>152.006736079647</v>
      </c>
      <c r="I93" s="28" t="n">
        <f aca="false">G93*H93</f>
        <v>3.46617284460415</v>
      </c>
      <c r="J93" s="29" t="n">
        <f aca="false">I93/$I$475</f>
        <v>0.00299619208903533</v>
      </c>
      <c r="K93" s="14" t="n">
        <f aca="false">SUM(J$6:J93)</f>
        <v>0.774864947059566</v>
      </c>
      <c r="L93" s="4" t="str">
        <f aca="false">IF(I93&lt;=0,"-",IF(K93-J93&lt;0.8,"A - top 80%",IF(K93-J93&lt;0.95,"B - next 15%","C - tail")))</f>
        <v>A - top 80%</v>
      </c>
      <c r="M93" s="16" t="n">
        <v>0</v>
      </c>
      <c r="N93" s="16" t="n">
        <v>769908.928571429</v>
      </c>
      <c r="O93" s="17" t="n">
        <f aca="false">N93-M93</f>
        <v>769908.928571429</v>
      </c>
      <c r="P93" s="14" t="str">
        <f aca="false">IF(M93&lt;1000,"new",R93)</f>
        <v>new</v>
      </c>
      <c r="Q93" s="4" t="str">
        <f aca="false">IF(LEFT(L93,1)="A",IF(R93&lt;-0.05,"2 FIX","1 PROTECT"),IF(AND(N93&gt;=300000,OR(P93="new",R93&gt;=0.25),LEFT(L93,1)&lt;&gt;"-"),"3 SCALE","4 MAINTAIN"))</f>
        <v>1 PROTECT</v>
      </c>
      <c r="R93" s="14" t="n">
        <f aca="false">IF(M93&lt;1000,0,N93/M93-1)</f>
        <v>0</v>
      </c>
    </row>
    <row r="94" customFormat="false" ht="15" hidden="false" customHeight="false" outlineLevel="0" collapsed="false">
      <c r="A94" s="25" t="n">
        <f aca="false">ROW()-5</f>
        <v>89</v>
      </c>
      <c r="B94" s="4" t="s">
        <v>434</v>
      </c>
      <c r="C94" s="4" t="s">
        <v>435</v>
      </c>
      <c r="D94" s="4" t="s">
        <v>78</v>
      </c>
      <c r="E94" s="4" t="s">
        <v>154</v>
      </c>
      <c r="F94" s="16" t="n">
        <v>1066730.35714286</v>
      </c>
      <c r="G94" s="14" t="n">
        <f aca="false">IF(SUMIFS(F$6:F$473,D$6:D$473,D94,E$6:E$473,E94)=0,0,F94/SUMIFS(F$6:F$473,D$6:D$473,D94,E$6:E$473,E94))</f>
        <v>0.0284391932730513</v>
      </c>
      <c r="H94" s="5" t="n">
        <f aca="false">SUMIFS(Pareto_Categories!$G$6:$G$84,Pareto_Categories!$B$6:$B$84,D94,Pareto_Categories!$C$6:$C$84,E94)</f>
        <v>120.122971429313</v>
      </c>
      <c r="I94" s="28" t="n">
        <f aca="false">G94*H94</f>
        <v>3.41620040101145</v>
      </c>
      <c r="J94" s="29" t="n">
        <f aca="false">I94/$I$475</f>
        <v>0.00295299544337604</v>
      </c>
      <c r="K94" s="14" t="n">
        <f aca="false">SUM(J$6:J94)</f>
        <v>0.777817942502942</v>
      </c>
      <c r="L94" s="4" t="str">
        <f aca="false">IF(I94&lt;=0,"-",IF(K94-J94&lt;0.8,"A - top 80%",IF(K94-J94&lt;0.95,"B - next 15%","C - tail")))</f>
        <v>A - top 80%</v>
      </c>
      <c r="M94" s="16" t="n">
        <v>1667116.07142857</v>
      </c>
      <c r="N94" s="16" t="n">
        <v>2376005.54464286</v>
      </c>
      <c r="O94" s="17" t="n">
        <f aca="false">N94-M94</f>
        <v>708889.473214286</v>
      </c>
      <c r="P94" s="14" t="n">
        <f aca="false">IF(M94&lt;1000,"new",R94)</f>
        <v>0.425219026655313</v>
      </c>
      <c r="Q94" s="4" t="str">
        <f aca="false">IF(LEFT(L94,1)="A",IF(R94&lt;-0.05,"2 FIX","1 PROTECT"),IF(AND(N94&gt;=300000,OR(P94="new",R94&gt;=0.25),LEFT(L94,1)&lt;&gt;"-"),"3 SCALE","4 MAINTAIN"))</f>
        <v>1 PROTECT</v>
      </c>
      <c r="R94" s="14" t="n">
        <f aca="false">IF(M94&lt;1000,0,N94/M94-1)</f>
        <v>0.425219026655313</v>
      </c>
    </row>
    <row r="95" customFormat="false" ht="15" hidden="false" customHeight="false" outlineLevel="0" collapsed="false">
      <c r="A95" s="25" t="n">
        <f aca="false">ROW()-5</f>
        <v>90</v>
      </c>
      <c r="B95" s="4" t="s">
        <v>436</v>
      </c>
      <c r="C95" s="4" t="s">
        <v>437</v>
      </c>
      <c r="D95" s="4" t="s">
        <v>78</v>
      </c>
      <c r="E95" s="4" t="s">
        <v>161</v>
      </c>
      <c r="F95" s="16" t="n">
        <v>953071.169642857</v>
      </c>
      <c r="G95" s="14" t="n">
        <f aca="false">IF(SUMIFS(F$6:F$473,D$6:D$473,D95,E$6:E$473,E95)=0,0,F95/SUMIFS(F$6:F$473,D$6:D$473,D95,E$6:E$473,E95))</f>
        <v>0.14211594764344</v>
      </c>
      <c r="H95" s="5" t="n">
        <f aca="false">SUMIFS(Pareto_Categories!$G$6:$G$84,Pareto_Categories!$B$6:$B$84,D95,Pareto_Categories!$C$6:$C$84,E95)</f>
        <v>23.2065327013405</v>
      </c>
      <c r="I95" s="28" t="n">
        <f aca="false">G95*H95</f>
        <v>3.29801838636947</v>
      </c>
      <c r="J95" s="29" t="n">
        <f aca="false">I95/$I$475</f>
        <v>0.00285083780923273</v>
      </c>
      <c r="K95" s="14" t="n">
        <f aca="false">SUM(J$6:J95)</f>
        <v>0.780668780312175</v>
      </c>
      <c r="L95" s="4" t="str">
        <f aca="false">IF(I95&lt;=0,"-",IF(K95-J95&lt;0.8,"A - top 80%",IF(K95-J95&lt;0.95,"B - next 15%","C - tail")))</f>
        <v>A - top 80%</v>
      </c>
      <c r="M95" s="16" t="n">
        <v>1376260.71428571</v>
      </c>
      <c r="N95" s="16" t="n">
        <v>1973007.51785714</v>
      </c>
      <c r="O95" s="17" t="n">
        <f aca="false">N95-M95</f>
        <v>596746.803571429</v>
      </c>
      <c r="P95" s="14" t="n">
        <f aca="false">IF(M95&lt;1000,"new",R95)</f>
        <v>0.433600114700029</v>
      </c>
      <c r="Q95" s="4" t="str">
        <f aca="false">IF(LEFT(L95,1)="A",IF(R95&lt;-0.05,"2 FIX","1 PROTECT"),IF(AND(N95&gt;=300000,OR(P95="new",R95&gt;=0.25),LEFT(L95,1)&lt;&gt;"-"),"3 SCALE","4 MAINTAIN"))</f>
        <v>1 PROTECT</v>
      </c>
      <c r="R95" s="14" t="n">
        <f aca="false">IF(M95&lt;1000,0,N95/M95-1)</f>
        <v>0.433600114700029</v>
      </c>
    </row>
    <row r="96" customFormat="false" ht="15" hidden="false" customHeight="false" outlineLevel="0" collapsed="false">
      <c r="A96" s="25" t="n">
        <f aca="false">ROW()-5</f>
        <v>91</v>
      </c>
      <c r="B96" s="4" t="s">
        <v>438</v>
      </c>
      <c r="C96" s="4" t="s">
        <v>439</v>
      </c>
      <c r="D96" s="4" t="s">
        <v>78</v>
      </c>
      <c r="E96" s="4" t="s">
        <v>151</v>
      </c>
      <c r="F96" s="16" t="n">
        <v>979924.107142857</v>
      </c>
      <c r="G96" s="14" t="n">
        <f aca="false">IF(SUMIFS(F$6:F$473,D$6:D$473,D96,E$6:E$473,E96)=0,0,F96/SUMIFS(F$6:F$473,D$6:D$473,D96,E$6:E$473,E96))</f>
        <v>0.0170925963730172</v>
      </c>
      <c r="H96" s="5" t="n">
        <f aca="false">SUMIFS(Pareto_Categories!$G$6:$G$84,Pareto_Categories!$B$6:$B$84,D96,Pareto_Categories!$C$6:$C$84,E96)</f>
        <v>192.620734264564</v>
      </c>
      <c r="I96" s="28" t="n">
        <f aca="false">G96*H96</f>
        <v>3.29238846385838</v>
      </c>
      <c r="J96" s="29" t="n">
        <f aca="false">I96/$I$475</f>
        <v>0.00284597125177993</v>
      </c>
      <c r="K96" s="14" t="n">
        <f aca="false">SUM(J$6:J96)</f>
        <v>0.783514751563955</v>
      </c>
      <c r="L96" s="4" t="str">
        <f aca="false">IF(I96&lt;=0,"-",IF(K96-J96&lt;0.8,"A - top 80%",IF(K96-J96&lt;0.95,"B - next 15%","C - tail")))</f>
        <v>A - top 80%</v>
      </c>
      <c r="M96" s="16" t="n">
        <v>2578886.28571429</v>
      </c>
      <c r="N96" s="16" t="n">
        <v>2476920.53571429</v>
      </c>
      <c r="O96" s="17" t="n">
        <f aca="false">N96-M96</f>
        <v>-101965.75</v>
      </c>
      <c r="P96" s="14" t="n">
        <f aca="false">IF(M96&lt;1000,"new",R96)</f>
        <v>-0.0395386762746532</v>
      </c>
      <c r="Q96" s="4" t="str">
        <f aca="false">IF(LEFT(L96,1)="A",IF(R96&lt;-0.05,"2 FIX","1 PROTECT"),IF(AND(N96&gt;=300000,OR(P96="new",R96&gt;=0.25),LEFT(L96,1)&lt;&gt;"-"),"3 SCALE","4 MAINTAIN"))</f>
        <v>1 PROTECT</v>
      </c>
      <c r="R96" s="14" t="n">
        <f aca="false">IF(M96&lt;1000,0,N96/M96-1)</f>
        <v>-0.0395386762746532</v>
      </c>
    </row>
    <row r="97" customFormat="false" ht="15" hidden="false" customHeight="false" outlineLevel="0" collapsed="false">
      <c r="A97" s="25" t="n">
        <f aca="false">ROW()-5</f>
        <v>92</v>
      </c>
      <c r="B97" s="4" t="s">
        <v>440</v>
      </c>
      <c r="C97" s="4" t="s">
        <v>441</v>
      </c>
      <c r="D97" s="4" t="s">
        <v>78</v>
      </c>
      <c r="E97" s="4" t="s">
        <v>154</v>
      </c>
      <c r="F97" s="16" t="n">
        <v>1016171.42857143</v>
      </c>
      <c r="G97" s="14" t="n">
        <f aca="false">IF(SUMIFS(F$6:F$473,D$6:D$473,D97,E$6:E$473,E97)=0,0,F97/SUMIFS(F$6:F$473,D$6:D$473,D97,E$6:E$473,E97))</f>
        <v>0.0270912845614511</v>
      </c>
      <c r="H97" s="5" t="n">
        <f aca="false">SUMIFS(Pareto_Categories!$G$6:$G$84,Pareto_Categories!$B$6:$B$84,D97,Pareto_Categories!$C$6:$C$84,E97)</f>
        <v>120.122971429313</v>
      </c>
      <c r="I97" s="28" t="n">
        <f aca="false">G97*H97</f>
        <v>3.25428560135858</v>
      </c>
      <c r="J97" s="29" t="n">
        <f aca="false">I97/$I$475</f>
        <v>0.00281303478256454</v>
      </c>
      <c r="K97" s="14" t="n">
        <f aca="false">SUM(J$6:J97)</f>
        <v>0.78632778634652</v>
      </c>
      <c r="L97" s="4" t="str">
        <f aca="false">IF(I97&lt;=0,"-",IF(K97-J97&lt;0.8,"A - top 80%",IF(K97-J97&lt;0.95,"B - next 15%","C - tail")))</f>
        <v>A - top 80%</v>
      </c>
      <c r="M97" s="16" t="n">
        <v>1664026.78571429</v>
      </c>
      <c r="N97" s="16" t="n">
        <v>1419079.46428571</v>
      </c>
      <c r="O97" s="17" t="n">
        <f aca="false">N97-M97</f>
        <v>-244947.321428571</v>
      </c>
      <c r="P97" s="14" t="n">
        <f aca="false">IF(M97&lt;1000,"new",R97)</f>
        <v>-0.147201549597308</v>
      </c>
      <c r="Q97" s="4" t="str">
        <f aca="false">IF(LEFT(L97,1)="A",IF(R97&lt;-0.05,"2 FIX","1 PROTECT"),IF(AND(N97&gt;=300000,OR(P97="new",R97&gt;=0.25),LEFT(L97,1)&lt;&gt;"-"),"3 SCALE","4 MAINTAIN"))</f>
        <v>2 FIX</v>
      </c>
      <c r="R97" s="14" t="n">
        <f aca="false">IF(M97&lt;1000,0,N97/M97-1)</f>
        <v>-0.147201549597308</v>
      </c>
    </row>
    <row r="98" customFormat="false" ht="15" hidden="false" customHeight="false" outlineLevel="0" collapsed="false">
      <c r="A98" s="25" t="n">
        <f aca="false">ROW()-5</f>
        <v>93</v>
      </c>
      <c r="B98" s="4" t="s">
        <v>442</v>
      </c>
      <c r="C98" s="4" t="s">
        <v>443</v>
      </c>
      <c r="D98" s="4" t="s">
        <v>78</v>
      </c>
      <c r="E98" s="4" t="s">
        <v>152</v>
      </c>
      <c r="F98" s="16" t="n">
        <v>845275</v>
      </c>
      <c r="G98" s="14" t="n">
        <f aca="false">IF(SUMIFS(F$6:F$473,D$6:D$473,D98,E$6:E$473,E98)=0,0,F98/SUMIFS(F$6:F$473,D$6:D$473,D98,E$6:E$473,E98))</f>
        <v>0.0174395137626858</v>
      </c>
      <c r="H98" s="5" t="n">
        <f aca="false">SUMIFS(Pareto_Categories!$G$6:$G$84,Pareto_Categories!$B$6:$B$84,D98,Pareto_Categories!$C$6:$C$84,E98)</f>
        <v>175.162640843516</v>
      </c>
      <c r="I98" s="28" t="n">
        <f aca="false">G98*H98</f>
        <v>3.05475128569889</v>
      </c>
      <c r="J98" s="29" t="n">
        <f aca="false">I98/$I$475</f>
        <v>0.00264055546174783</v>
      </c>
      <c r="K98" s="14" t="n">
        <f aca="false">SUM(J$6:J98)</f>
        <v>0.788968341808267</v>
      </c>
      <c r="L98" s="4" t="str">
        <f aca="false">IF(I98&lt;=0,"-",IF(K98-J98&lt;0.8,"A - top 80%",IF(K98-J98&lt;0.95,"B - next 15%","C - tail")))</f>
        <v>A - top 80%</v>
      </c>
      <c r="M98" s="16" t="n">
        <v>1544464.28571429</v>
      </c>
      <c r="N98" s="16" t="n">
        <v>1602807.14285714</v>
      </c>
      <c r="O98" s="17" t="n">
        <f aca="false">N98-M98</f>
        <v>58342.857142858</v>
      </c>
      <c r="P98" s="14" t="n">
        <f aca="false">IF(M98&lt;1000,"new",R98)</f>
        <v>0.0377754653717199</v>
      </c>
      <c r="Q98" s="4" t="str">
        <f aca="false">IF(LEFT(L98,1)="A",IF(R98&lt;-0.05,"2 FIX","1 PROTECT"),IF(AND(N98&gt;=300000,OR(P98="new",R98&gt;=0.25),LEFT(L98,1)&lt;&gt;"-"),"3 SCALE","4 MAINTAIN"))</f>
        <v>1 PROTECT</v>
      </c>
      <c r="R98" s="14" t="n">
        <f aca="false">IF(M98&lt;1000,0,N98/M98-1)</f>
        <v>0.0377754653717199</v>
      </c>
    </row>
    <row r="99" customFormat="false" ht="15" hidden="false" customHeight="false" outlineLevel="0" collapsed="false">
      <c r="A99" s="25" t="n">
        <f aca="false">ROW()-5</f>
        <v>94</v>
      </c>
      <c r="B99" s="4" t="s">
        <v>444</v>
      </c>
      <c r="C99" s="4" t="s">
        <v>445</v>
      </c>
      <c r="D99" s="4" t="s">
        <v>78</v>
      </c>
      <c r="E99" s="4" t="s">
        <v>162</v>
      </c>
      <c r="F99" s="16" t="n">
        <v>948223.910714286</v>
      </c>
      <c r="G99" s="14" t="n">
        <f aca="false">IF(SUMIFS(F$6:F$473,D$6:D$473,D99,E$6:E$473,E99)=0,0,F99/SUMIFS(F$6:F$473,D$6:D$473,D99,E$6:E$473,E99))</f>
        <v>0.145059624350362</v>
      </c>
      <c r="H99" s="5" t="n">
        <f aca="false">SUMIFS(Pareto_Categories!$G$6:$G$84,Pareto_Categories!$B$6:$B$84,D99,Pareto_Categories!$C$6:$C$84,E99)</f>
        <v>20.4788803648929</v>
      </c>
      <c r="I99" s="28" t="n">
        <f aca="false">G99*H99</f>
        <v>2.97065869284736</v>
      </c>
      <c r="J99" s="29" t="n">
        <f aca="false">I99/$I$475</f>
        <v>0.00256786504129161</v>
      </c>
      <c r="K99" s="14" t="n">
        <f aca="false">SUM(J$6:J99)</f>
        <v>0.791536206849559</v>
      </c>
      <c r="L99" s="4" t="str">
        <f aca="false">IF(I99&lt;=0,"-",IF(K99-J99&lt;0.8,"A - top 80%",IF(K99-J99&lt;0.95,"B - next 15%","C - tail")))</f>
        <v>A - top 80%</v>
      </c>
      <c r="M99" s="16" t="n">
        <v>137256.25</v>
      </c>
      <c r="N99" s="16" t="n">
        <v>2083181.21428571</v>
      </c>
      <c r="O99" s="17" t="n">
        <f aca="false">N99-M99</f>
        <v>1945924.96428571</v>
      </c>
      <c r="P99" s="14" t="n">
        <f aca="false">IF(M99&lt;1000,"new",R99)</f>
        <v>14.177314069747</v>
      </c>
      <c r="Q99" s="4" t="str">
        <f aca="false">IF(LEFT(L99,1)="A",IF(R99&lt;-0.05,"2 FIX","1 PROTECT"),IF(AND(N99&gt;=300000,OR(P99="new",R99&gt;=0.25),LEFT(L99,1)&lt;&gt;"-"),"3 SCALE","4 MAINTAIN"))</f>
        <v>1 PROTECT</v>
      </c>
      <c r="R99" s="14" t="n">
        <f aca="false">IF(M99&lt;1000,0,N99/M99-1)</f>
        <v>14.177314069747</v>
      </c>
    </row>
    <row r="100" customFormat="false" ht="15" hidden="false" customHeight="false" outlineLevel="0" collapsed="false">
      <c r="A100" s="25" t="n">
        <f aca="false">ROW()-5</f>
        <v>95</v>
      </c>
      <c r="B100" s="4" t="s">
        <v>446</v>
      </c>
      <c r="C100" s="4" t="s">
        <v>447</v>
      </c>
      <c r="D100" s="4" t="s">
        <v>78</v>
      </c>
      <c r="E100" s="4" t="s">
        <v>159</v>
      </c>
      <c r="F100" s="16" t="n">
        <v>892759.821428571</v>
      </c>
      <c r="G100" s="14" t="n">
        <f aca="false">IF(SUMIFS(F$6:F$473,D$6:D$473,D100,E$6:E$473,E100)=0,0,F100/SUMIFS(F$6:F$473,D$6:D$473,D100,E$6:E$473,E100))</f>
        <v>0.0927735762859156</v>
      </c>
      <c r="H100" s="5" t="n">
        <f aca="false">SUMIFS(Pareto_Categories!$G$6:$G$84,Pareto_Categories!$B$6:$B$84,D100,Pareto_Categories!$C$6:$C$84,E100)</f>
        <v>31.1872499991218</v>
      </c>
      <c r="I100" s="28" t="n">
        <f aca="false">G100*H100</f>
        <v>2.89335271694144</v>
      </c>
      <c r="J100" s="29" t="n">
        <f aca="false">I100/$I$475</f>
        <v>0.00250104103573025</v>
      </c>
      <c r="K100" s="14" t="n">
        <f aca="false">SUM(J$6:J100)</f>
        <v>0.794037247885289</v>
      </c>
      <c r="L100" s="4" t="str">
        <f aca="false">IF(I100&lt;=0,"-",IF(K100-J100&lt;0.8,"A - top 80%",IF(K100-J100&lt;0.95,"B - next 15%","C - tail")))</f>
        <v>A - top 80%</v>
      </c>
      <c r="M100" s="16" t="n">
        <v>1868925</v>
      </c>
      <c r="N100" s="16" t="n">
        <v>1888738.39285714</v>
      </c>
      <c r="O100" s="17" t="n">
        <f aca="false">N100-M100</f>
        <v>19813.392857143</v>
      </c>
      <c r="P100" s="14" t="n">
        <f aca="false">IF(M100&lt;1000,"new",R100)</f>
        <v>0.0106014916902193</v>
      </c>
      <c r="Q100" s="4" t="str">
        <f aca="false">IF(LEFT(L100,1)="A",IF(R100&lt;-0.05,"2 FIX","1 PROTECT"),IF(AND(N100&gt;=300000,OR(P100="new",R100&gt;=0.25),LEFT(L100,1)&lt;&gt;"-"),"3 SCALE","4 MAINTAIN"))</f>
        <v>1 PROTECT</v>
      </c>
      <c r="R100" s="14" t="n">
        <f aca="false">IF(M100&lt;1000,0,N100/M100-1)</f>
        <v>0.0106014916902193</v>
      </c>
    </row>
    <row r="101" customFormat="false" ht="15" hidden="false" customHeight="false" outlineLevel="0" collapsed="false">
      <c r="A101" s="25" t="n">
        <f aca="false">ROW()-5</f>
        <v>96</v>
      </c>
      <c r="B101" s="4" t="s">
        <v>448</v>
      </c>
      <c r="C101" s="4" t="s">
        <v>449</v>
      </c>
      <c r="D101" s="4" t="s">
        <v>78</v>
      </c>
      <c r="E101" s="4" t="s">
        <v>154</v>
      </c>
      <c r="F101" s="16" t="n">
        <v>902145.535714286</v>
      </c>
      <c r="G101" s="14" t="n">
        <f aca="false">IF(SUMIFS(F$6:F$473,D$6:D$473,D101,E$6:E$473,E101)=0,0,F101/SUMIFS(F$6:F$473,D$6:D$473,D101,E$6:E$473,E101))</f>
        <v>0.0240513369464023</v>
      </c>
      <c r="H101" s="5" t="n">
        <f aca="false">SUMIFS(Pareto_Categories!$G$6:$G$84,Pareto_Categories!$B$6:$B$84,D101,Pareto_Categories!$C$6:$C$84,E101)</f>
        <v>120.122971429313</v>
      </c>
      <c r="I101" s="28" t="n">
        <f aca="false">G101*H101</f>
        <v>2.88911806084947</v>
      </c>
      <c r="J101" s="29" t="n">
        <f aca="false">I101/$I$475</f>
        <v>0.00249738055956493</v>
      </c>
      <c r="K101" s="14" t="n">
        <f aca="false">SUM(J$6:J101)</f>
        <v>0.796534628444854</v>
      </c>
      <c r="L101" s="4" t="str">
        <f aca="false">IF(I101&lt;=0,"-",IF(K101-J101&lt;0.8,"A - top 80%",IF(K101-J101&lt;0.95,"B - next 15%","C - tail")))</f>
        <v>A - top 80%</v>
      </c>
      <c r="M101" s="16" t="n">
        <v>2450479.25</v>
      </c>
      <c r="N101" s="16" t="n">
        <v>1931157.14285714</v>
      </c>
      <c r="O101" s="17" t="n">
        <f aca="false">N101-M101</f>
        <v>-519322.107142857</v>
      </c>
      <c r="P101" s="14" t="n">
        <f aca="false">IF(M101&lt;1000,"new",R101)</f>
        <v>-0.211926751529464</v>
      </c>
      <c r="Q101" s="4" t="str">
        <f aca="false">IF(LEFT(L101,1)="A",IF(R101&lt;-0.05,"2 FIX","1 PROTECT"),IF(AND(N101&gt;=300000,OR(P101="new",R101&gt;=0.25),LEFT(L101,1)&lt;&gt;"-"),"3 SCALE","4 MAINTAIN"))</f>
        <v>2 FIX</v>
      </c>
      <c r="R101" s="14" t="n">
        <f aca="false">IF(M101&lt;1000,0,N101/M101-1)</f>
        <v>-0.211926751529464</v>
      </c>
    </row>
    <row r="102" customFormat="false" ht="15" hidden="false" customHeight="false" outlineLevel="0" collapsed="false">
      <c r="A102" s="25" t="n">
        <f aca="false">ROW()-5</f>
        <v>97</v>
      </c>
      <c r="B102" s="4" t="s">
        <v>450</v>
      </c>
      <c r="C102" s="4" t="s">
        <v>451</v>
      </c>
      <c r="D102" s="4" t="s">
        <v>78</v>
      </c>
      <c r="E102" s="4" t="s">
        <v>166</v>
      </c>
      <c r="F102" s="16" t="n">
        <v>720955.357142857</v>
      </c>
      <c r="G102" s="14" t="n">
        <f aca="false">IF(SUMIFS(F$6:F$473,D$6:D$473,D102,E$6:E$473,E102)=0,0,F102/SUMIFS(F$6:F$473,D$6:D$473,D102,E$6:E$473,E102))</f>
        <v>0.212423884773553</v>
      </c>
      <c r="H102" s="5" t="n">
        <f aca="false">SUMIFS(Pareto_Categories!$G$6:$G$84,Pareto_Categories!$B$6:$B$84,D102,Pareto_Categories!$C$6:$C$84,E102)</f>
        <v>13.503490691206</v>
      </c>
      <c r="I102" s="28" t="n">
        <f aca="false">G102*H102</f>
        <v>2.86846395062947</v>
      </c>
      <c r="J102" s="29" t="n">
        <f aca="false">I102/$I$475</f>
        <v>0.00247952695432895</v>
      </c>
      <c r="K102" s="14" t="n">
        <f aca="false">SUM(J$6:J102)</f>
        <v>0.799014155399183</v>
      </c>
      <c r="L102" s="4" t="str">
        <f aca="false">IF(I102&lt;=0,"-",IF(K102-J102&lt;0.8,"A - top 80%",IF(K102-J102&lt;0.95,"B - next 15%","C - tail")))</f>
        <v>A - top 80%</v>
      </c>
      <c r="M102" s="16" t="n">
        <v>1480135.14285714</v>
      </c>
      <c r="N102" s="16" t="n">
        <v>1441217.85714286</v>
      </c>
      <c r="O102" s="17" t="n">
        <f aca="false">N102-M102</f>
        <v>-38917.2857142859</v>
      </c>
      <c r="P102" s="14" t="n">
        <f aca="false">IF(M102&lt;1000,"new",R102)</f>
        <v>-0.0262930624288555</v>
      </c>
      <c r="Q102" s="4" t="str">
        <f aca="false">IF(LEFT(L102,1)="A",IF(R102&lt;-0.05,"2 FIX","1 PROTECT"),IF(AND(N102&gt;=300000,OR(P102="new",R102&gt;=0.25),LEFT(L102,1)&lt;&gt;"-"),"3 SCALE","4 MAINTAIN"))</f>
        <v>1 PROTECT</v>
      </c>
      <c r="R102" s="14" t="n">
        <f aca="false">IF(M102&lt;1000,0,N102/M102-1)</f>
        <v>-0.0262930624288555</v>
      </c>
    </row>
    <row r="103" customFormat="false" ht="15" hidden="false" customHeight="false" outlineLevel="0" collapsed="false">
      <c r="A103" s="25" t="n">
        <f aca="false">ROW()-5</f>
        <v>98</v>
      </c>
      <c r="B103" s="4" t="s">
        <v>350</v>
      </c>
      <c r="C103" s="4" t="s">
        <v>351</v>
      </c>
      <c r="D103" s="4" t="s">
        <v>83</v>
      </c>
      <c r="E103" s="4" t="s">
        <v>225</v>
      </c>
      <c r="F103" s="16" t="n">
        <v>846332.142857143</v>
      </c>
      <c r="G103" s="14" t="n">
        <f aca="false">IF(SUMIFS(F$6:F$473,D$6:D$473,D103,E$6:E$473,E103)=0,0,F103/SUMIFS(F$6:F$473,D$6:D$473,D103,E$6:E$473,E103))</f>
        <v>0.567447095094136</v>
      </c>
      <c r="H103" s="5" t="n">
        <f aca="false">SUMIFS(Pareto_Categories!$G$6:$G$84,Pareto_Categories!$B$6:$B$84,D103,Pareto_Categories!$C$6:$C$84,E103)</f>
        <v>4.95628802452008</v>
      </c>
      <c r="I103" s="28" t="n">
        <f aca="false">G103*H103</f>
        <v>2.81243124196377</v>
      </c>
      <c r="J103" s="29" t="n">
        <f aca="false">I103/$I$475</f>
        <v>0.00243109175909836</v>
      </c>
      <c r="K103" s="14" t="n">
        <f aca="false">SUM(J$6:J103)</f>
        <v>0.801445247158282</v>
      </c>
      <c r="L103" s="4" t="str">
        <f aca="false">IF(I103&lt;=0,"-",IF(K103-J103&lt;0.8,"A - top 80%",IF(K103-J103&lt;0.95,"B - next 15%","C - tail")))</f>
        <v>A - top 80%</v>
      </c>
      <c r="M103" s="16" t="n">
        <v>2119210.71428571</v>
      </c>
      <c r="N103" s="16" t="n">
        <v>2006405.35714286</v>
      </c>
      <c r="O103" s="17" t="n">
        <f aca="false">N103-M103</f>
        <v>-112805.357142857</v>
      </c>
      <c r="P103" s="14" t="n">
        <f aca="false">IF(M103&lt;1000,"new",R103)</f>
        <v>-0.053229891856638</v>
      </c>
      <c r="Q103" s="4" t="str">
        <f aca="false">IF(LEFT(L103,1)="A",IF(R103&lt;-0.05,"2 FIX","1 PROTECT"),IF(AND(N103&gt;=300000,OR(P103="new",R103&gt;=0.25),LEFT(L103,1)&lt;&gt;"-"),"3 SCALE","4 MAINTAIN"))</f>
        <v>2 FIX</v>
      </c>
      <c r="R103" s="14" t="n">
        <f aca="false">IF(M103&lt;1000,0,N103/M103-1)</f>
        <v>-0.053229891856638</v>
      </c>
    </row>
    <row r="104" customFormat="false" ht="15" hidden="false" customHeight="false" outlineLevel="0" collapsed="false">
      <c r="A104" s="25" t="n">
        <f aca="false">ROW()-5</f>
        <v>99</v>
      </c>
      <c r="B104" s="4" t="s">
        <v>366</v>
      </c>
      <c r="C104" s="4" t="s">
        <v>367</v>
      </c>
      <c r="D104" s="4" t="s">
        <v>78</v>
      </c>
      <c r="E104" s="4" t="s">
        <v>152</v>
      </c>
      <c r="F104" s="16" t="n">
        <v>757703.571428571</v>
      </c>
      <c r="G104" s="14" t="n">
        <f aca="false">IF(SUMIFS(F$6:F$473,D$6:D$473,D104,E$6:E$473,E104)=0,0,F104/SUMIFS(F$6:F$473,D$6:D$473,D104,E$6:E$473,E104))</f>
        <v>0.0156327607724879</v>
      </c>
      <c r="H104" s="5" t="n">
        <f aca="false">SUMIFS(Pareto_Categories!$G$6:$G$84,Pareto_Categories!$B$6:$B$84,D104,Pareto_Categories!$C$6:$C$84,E104)</f>
        <v>175.162640843516</v>
      </c>
      <c r="I104" s="28" t="n">
        <f aca="false">G104*H104</f>
        <v>2.73827566058391</v>
      </c>
      <c r="J104" s="29" t="n">
        <f aca="false">I104/$I$475</f>
        <v>0.00236699098390648</v>
      </c>
      <c r="K104" s="14" t="n">
        <f aca="false">SUM(J$6:J104)</f>
        <v>0.803812238142188</v>
      </c>
      <c r="L104" s="4" t="str">
        <f aca="false">IF(I104&lt;=0,"-",IF(K104-J104&lt;0.8,"A - top 80%",IF(K104-J104&lt;0.95,"B - next 15%","C - tail")))</f>
        <v>B - next 15%</v>
      </c>
      <c r="M104" s="16" t="n">
        <v>1675255.35714286</v>
      </c>
      <c r="N104" s="16" t="n">
        <v>1665954.65178571</v>
      </c>
      <c r="O104" s="17" t="n">
        <f aca="false">N104-M104</f>
        <v>-9300.70535714296</v>
      </c>
      <c r="P104" s="14" t="n">
        <f aca="false">IF(M104&lt;1000,"new",R104)</f>
        <v>-0.00555181352949397</v>
      </c>
      <c r="Q104" s="4" t="str">
        <f aca="false">IF(LEFT(L104,1)="A",IF(R104&lt;-0.05,"2 FIX","1 PROTECT"),IF(AND(N104&gt;=300000,OR(P104="new",R104&gt;=0.25),LEFT(L104,1)&lt;&gt;"-"),"3 SCALE","4 MAINTAIN"))</f>
        <v>4 MAINTAIN</v>
      </c>
      <c r="R104" s="14" t="n">
        <f aca="false">IF(M104&lt;1000,0,N104/M104-1)</f>
        <v>-0.00555181352949397</v>
      </c>
    </row>
    <row r="105" customFormat="false" ht="15" hidden="false" customHeight="false" outlineLevel="0" collapsed="false">
      <c r="A105" s="25" t="n">
        <f aca="false">ROW()-5</f>
        <v>100</v>
      </c>
      <c r="B105" s="4" t="s">
        <v>452</v>
      </c>
      <c r="C105" s="4" t="s">
        <v>453</v>
      </c>
      <c r="D105" s="4" t="s">
        <v>78</v>
      </c>
      <c r="E105" s="4" t="s">
        <v>154</v>
      </c>
      <c r="F105" s="16" t="n">
        <v>845098.214285714</v>
      </c>
      <c r="G105" s="14" t="n">
        <f aca="false">IF(SUMIFS(F$6:F$473,D$6:D$473,D105,E$6:E$473,E105)=0,0,F105/SUMIFS(F$6:F$473,D$6:D$473,D105,E$6:E$473,E105))</f>
        <v>0.0225304466961591</v>
      </c>
      <c r="H105" s="5" t="n">
        <f aca="false">SUMIFS(Pareto_Categories!$G$6:$G$84,Pareto_Categories!$B$6:$B$84,D105,Pareto_Categories!$C$6:$C$84,E105)</f>
        <v>120.122971429313</v>
      </c>
      <c r="I105" s="28" t="n">
        <f aca="false">G105*H105</f>
        <v>2.70642420477239</v>
      </c>
      <c r="J105" s="29" t="n">
        <f aca="false">I105/$I$475</f>
        <v>0.00233945828885485</v>
      </c>
      <c r="K105" s="14" t="n">
        <f aca="false">SUM(J$6:J105)</f>
        <v>0.806151696431043</v>
      </c>
      <c r="L105" s="4" t="str">
        <f aca="false">IF(I105&lt;=0,"-",IF(K105-J105&lt;0.8,"A - top 80%",IF(K105-J105&lt;0.95,"B - next 15%","C - tail")))</f>
        <v>B - next 15%</v>
      </c>
      <c r="M105" s="16" t="n">
        <v>119643.928571429</v>
      </c>
      <c r="N105" s="16" t="n">
        <v>1099424.34821429</v>
      </c>
      <c r="O105" s="17" t="n">
        <f aca="false">N105-M105</f>
        <v>979780.419642857</v>
      </c>
      <c r="P105" s="14" t="n">
        <f aca="false">IF(M105&lt;1000,"new",R105)</f>
        <v>8.1891361420644</v>
      </c>
      <c r="Q105" s="4" t="str">
        <f aca="false">IF(LEFT(L105,1)="A",IF(R105&lt;-0.05,"2 FIX","1 PROTECT"),IF(AND(N105&gt;=300000,OR(P105="new",R105&gt;=0.25),LEFT(L105,1)&lt;&gt;"-"),"3 SCALE","4 MAINTAIN"))</f>
        <v>3 SCALE</v>
      </c>
      <c r="R105" s="14" t="n">
        <f aca="false">IF(M105&lt;1000,0,N105/M105-1)</f>
        <v>8.1891361420644</v>
      </c>
    </row>
    <row r="106" customFormat="false" ht="15" hidden="false" customHeight="false" outlineLevel="0" collapsed="false">
      <c r="A106" s="25" t="n">
        <f aca="false">ROW()-5</f>
        <v>101</v>
      </c>
      <c r="B106" s="4" t="s">
        <v>454</v>
      </c>
      <c r="C106" s="4" t="s">
        <v>455</v>
      </c>
      <c r="D106" s="4" t="s">
        <v>78</v>
      </c>
      <c r="E106" s="4" t="s">
        <v>167</v>
      </c>
      <c r="F106" s="16" t="n">
        <v>711575.892857143</v>
      </c>
      <c r="G106" s="14" t="n">
        <f aca="false">IF(SUMIFS(F$6:F$473,D$6:D$473,D106,E$6:E$473,E106)=0,0,F106/SUMIFS(F$6:F$473,D$6:D$473,D106,E$6:E$473,E106))</f>
        <v>0.52318022573914</v>
      </c>
      <c r="H106" s="5" t="n">
        <f aca="false">SUMIFS(Pareto_Categories!$G$6:$G$84,Pareto_Categories!$B$6:$B$84,D106,Pareto_Categories!$C$6:$C$84,E106)</f>
        <v>5.01387386744405</v>
      </c>
      <c r="I106" s="28" t="n">
        <f aca="false">G106*H106</f>
        <v>2.62315966179695</v>
      </c>
      <c r="J106" s="29" t="n">
        <f aca="false">I106/$I$475</f>
        <v>0.00226748364242355</v>
      </c>
      <c r="K106" s="14" t="n">
        <f aca="false">SUM(J$6:J106)</f>
        <v>0.808419180073466</v>
      </c>
      <c r="L106" s="4" t="str">
        <f aca="false">IF(I106&lt;=0,"-",IF(K106-J106&lt;0.8,"A - top 80%",IF(K106-J106&lt;0.95,"B - next 15%","C - tail")))</f>
        <v>B - next 15%</v>
      </c>
      <c r="M106" s="16" t="n">
        <v>582457.142857143</v>
      </c>
      <c r="N106" s="16" t="n">
        <v>1326853.57142857</v>
      </c>
      <c r="O106" s="17" t="n">
        <f aca="false">N106-M106</f>
        <v>744396.428571428</v>
      </c>
      <c r="P106" s="14" t="n">
        <f aca="false">IF(M106&lt;1000,"new",R106)</f>
        <v>1.27802781320514</v>
      </c>
      <c r="Q106" s="4" t="str">
        <f aca="false">IF(LEFT(L106,1)="A",IF(R106&lt;-0.05,"2 FIX","1 PROTECT"),IF(AND(N106&gt;=300000,OR(P106="new",R106&gt;=0.25),LEFT(L106,1)&lt;&gt;"-"),"3 SCALE","4 MAINTAIN"))</f>
        <v>3 SCALE</v>
      </c>
      <c r="R106" s="14" t="n">
        <f aca="false">IF(M106&lt;1000,0,N106/M106-1)</f>
        <v>1.27802781320514</v>
      </c>
    </row>
    <row r="107" customFormat="false" ht="15" hidden="false" customHeight="false" outlineLevel="0" collapsed="false">
      <c r="A107" s="25" t="n">
        <f aca="false">ROW()-5</f>
        <v>102</v>
      </c>
      <c r="B107" s="4" t="s">
        <v>456</v>
      </c>
      <c r="C107" s="4" t="s">
        <v>457</v>
      </c>
      <c r="D107" s="4" t="s">
        <v>78</v>
      </c>
      <c r="E107" s="4" t="s">
        <v>154</v>
      </c>
      <c r="F107" s="16" t="n">
        <v>810091.071428571</v>
      </c>
      <c r="G107" s="14" t="n">
        <f aca="false">IF(SUMIFS(F$6:F$473,D$6:D$473,D107,E$6:E$473,E107)=0,0,F107/SUMIFS(F$6:F$473,D$6:D$473,D107,E$6:E$473,E107))</f>
        <v>0.0215971509527829</v>
      </c>
      <c r="H107" s="5" t="n">
        <f aca="false">SUMIFS(Pareto_Categories!$G$6:$G$84,Pareto_Categories!$B$6:$B$84,D107,Pareto_Categories!$C$6:$C$84,E107)</f>
        <v>120.122971429313</v>
      </c>
      <c r="I107" s="28" t="n">
        <f aca="false">G107*H107</f>
        <v>2.59431394685571</v>
      </c>
      <c r="J107" s="29" t="n">
        <f aca="false">I107/$I$475</f>
        <v>0.00224254913777412</v>
      </c>
      <c r="K107" s="14" t="n">
        <f aca="false">SUM(J$6:J107)</f>
        <v>0.81066172921124</v>
      </c>
      <c r="L107" s="4" t="str">
        <f aca="false">IF(I107&lt;=0,"-",IF(K107-J107&lt;0.8,"A - top 80%",IF(K107-J107&lt;0.95,"B - next 15%","C - tail")))</f>
        <v>B - next 15%</v>
      </c>
      <c r="M107" s="16" t="n">
        <v>1257735.71428571</v>
      </c>
      <c r="N107" s="16" t="n">
        <v>1102412.5</v>
      </c>
      <c r="O107" s="17" t="n">
        <f aca="false">N107-M107</f>
        <v>-155323.214285714</v>
      </c>
      <c r="P107" s="14" t="n">
        <f aca="false">IF(M107&lt;1000,"new",R107)</f>
        <v>-0.123494318020479</v>
      </c>
      <c r="Q107" s="4" t="str">
        <f aca="false">IF(LEFT(L107,1)="A",IF(R107&lt;-0.05,"2 FIX","1 PROTECT"),IF(AND(N107&gt;=300000,OR(P107="new",R107&gt;=0.25),LEFT(L107,1)&lt;&gt;"-"),"3 SCALE","4 MAINTAIN"))</f>
        <v>4 MAINTAIN</v>
      </c>
      <c r="R107" s="14" t="n">
        <f aca="false">IF(M107&lt;1000,0,N107/M107-1)</f>
        <v>-0.123494318020479</v>
      </c>
    </row>
    <row r="108" customFormat="false" ht="15" hidden="false" customHeight="false" outlineLevel="0" collapsed="false">
      <c r="A108" s="25" t="n">
        <f aca="false">ROW()-5</f>
        <v>103</v>
      </c>
      <c r="B108" s="4" t="s">
        <v>458</v>
      </c>
      <c r="C108" s="4" t="s">
        <v>459</v>
      </c>
      <c r="D108" s="4" t="s">
        <v>78</v>
      </c>
      <c r="E108" s="4" t="s">
        <v>162</v>
      </c>
      <c r="F108" s="16" t="n">
        <v>810921.428571429</v>
      </c>
      <c r="G108" s="14" t="n">
        <f aca="false">IF(SUMIFS(F$6:F$473,D$6:D$473,D108,E$6:E$473,E108)=0,0,F108/SUMIFS(F$6:F$473,D$6:D$473,D108,E$6:E$473,E108))</f>
        <v>0.124055042777417</v>
      </c>
      <c r="H108" s="5" t="n">
        <f aca="false">SUMIFS(Pareto_Categories!$G$6:$G$84,Pareto_Categories!$B$6:$B$84,D108,Pareto_Categories!$C$6:$C$84,E108)</f>
        <v>20.4788803648929</v>
      </c>
      <c r="I108" s="28" t="n">
        <f aca="false">G108*H108</f>
        <v>2.54050837970039</v>
      </c>
      <c r="J108" s="29" t="n">
        <f aca="false">I108/$I$475</f>
        <v>0.00219603910440755</v>
      </c>
      <c r="K108" s="14" t="n">
        <f aca="false">SUM(J$6:J108)</f>
        <v>0.812857768315648</v>
      </c>
      <c r="L108" s="4" t="str">
        <f aca="false">IF(I108&lt;=0,"-",IF(K108-J108&lt;0.8,"A - top 80%",IF(K108-J108&lt;0.95,"B - next 15%","C - tail")))</f>
        <v>B - next 15%</v>
      </c>
      <c r="M108" s="16" t="n">
        <v>166724.107142857</v>
      </c>
      <c r="N108" s="16" t="n">
        <v>1844733.05357143</v>
      </c>
      <c r="O108" s="17" t="n">
        <f aca="false">N108-M108</f>
        <v>1678008.94642857</v>
      </c>
      <c r="P108" s="14" t="n">
        <f aca="false">IF(M108&lt;1000,"new",R108)</f>
        <v>10.0645849912441</v>
      </c>
      <c r="Q108" s="4" t="str">
        <f aca="false">IF(LEFT(L108,1)="A",IF(R108&lt;-0.05,"2 FIX","1 PROTECT"),IF(AND(N108&gt;=300000,OR(P108="new",R108&gt;=0.25),LEFT(L108,1)&lt;&gt;"-"),"3 SCALE","4 MAINTAIN"))</f>
        <v>3 SCALE</v>
      </c>
      <c r="R108" s="14" t="n">
        <f aca="false">IF(M108&lt;1000,0,N108/M108-1)</f>
        <v>10.0645849912441</v>
      </c>
    </row>
    <row r="109" customFormat="false" ht="15" hidden="false" customHeight="false" outlineLevel="0" collapsed="false">
      <c r="A109" s="25" t="n">
        <f aca="false">ROW()-5</f>
        <v>104</v>
      </c>
      <c r="B109" s="4" t="s">
        <v>402</v>
      </c>
      <c r="C109" s="4" t="s">
        <v>403</v>
      </c>
      <c r="D109" s="4" t="s">
        <v>78</v>
      </c>
      <c r="E109" s="4" t="s">
        <v>152</v>
      </c>
      <c r="F109" s="16" t="n">
        <v>692705.357142857</v>
      </c>
      <c r="G109" s="14" t="n">
        <f aca="false">IF(SUMIFS(F$6:F$473,D$6:D$473,D109,E$6:E$473,E109)=0,0,F109/SUMIFS(F$6:F$473,D$6:D$473,D109,E$6:E$473,E109))</f>
        <v>0.0142917329974021</v>
      </c>
      <c r="H109" s="5" t="n">
        <f aca="false">SUMIFS(Pareto_Categories!$G$6:$G$84,Pareto_Categories!$B$6:$B$84,D109,Pareto_Categories!$C$6:$C$84,E109)</f>
        <v>175.162640843516</v>
      </c>
      <c r="I109" s="28" t="n">
        <f aca="false">G109*H109</f>
        <v>2.50337769405536</v>
      </c>
      <c r="J109" s="29" t="n">
        <f aca="false">I109/$I$475</f>
        <v>0.00216394299391979</v>
      </c>
      <c r="K109" s="14" t="n">
        <f aca="false">SUM(J$6:J109)</f>
        <v>0.815021711309568</v>
      </c>
      <c r="L109" s="4" t="str">
        <f aca="false">IF(I109&lt;=0,"-",IF(K109-J109&lt;0.8,"A - top 80%",IF(K109-J109&lt;0.95,"B - next 15%","C - tail")))</f>
        <v>B - next 15%</v>
      </c>
      <c r="M109" s="16" t="n">
        <v>1568991.64285714</v>
      </c>
      <c r="N109" s="16" t="n">
        <v>1509992.85714286</v>
      </c>
      <c r="O109" s="17" t="n">
        <f aca="false">N109-M109</f>
        <v>-58998.7857142859</v>
      </c>
      <c r="P109" s="14" t="n">
        <f aca="false">IF(M109&lt;1000,"new",R109)</f>
        <v>-0.0376029955180952</v>
      </c>
      <c r="Q109" s="4" t="str">
        <f aca="false">IF(LEFT(L109,1)="A",IF(R109&lt;-0.05,"2 FIX","1 PROTECT"),IF(AND(N109&gt;=300000,OR(P109="new",R109&gt;=0.25),LEFT(L109,1)&lt;&gt;"-"),"3 SCALE","4 MAINTAIN"))</f>
        <v>4 MAINTAIN</v>
      </c>
      <c r="R109" s="14" t="n">
        <f aca="false">IF(M109&lt;1000,0,N109/M109-1)</f>
        <v>-0.0376029955180952</v>
      </c>
    </row>
    <row r="110" customFormat="false" ht="15" hidden="false" customHeight="false" outlineLevel="0" collapsed="false">
      <c r="A110" s="25" t="n">
        <f aca="false">ROW()-5</f>
        <v>105</v>
      </c>
      <c r="B110" s="4" t="s">
        <v>460</v>
      </c>
      <c r="C110" s="4" t="s">
        <v>461</v>
      </c>
      <c r="D110" s="4" t="s">
        <v>78</v>
      </c>
      <c r="E110" s="4" t="s">
        <v>166</v>
      </c>
      <c r="F110" s="16" t="n">
        <v>628926.026785714</v>
      </c>
      <c r="G110" s="14" t="n">
        <f aca="false">IF(SUMIFS(F$6:F$473,D$6:D$473,D110,E$6:E$473,E110)=0,0,F110/SUMIFS(F$6:F$473,D$6:D$473,D110,E$6:E$473,E110))</f>
        <v>0.185308158849764</v>
      </c>
      <c r="H110" s="5" t="n">
        <f aca="false">SUMIFS(Pareto_Categories!$G$6:$G$84,Pareto_Categories!$B$6:$B$84,D110,Pareto_Categories!$C$6:$C$84,E110)</f>
        <v>13.503490691206</v>
      </c>
      <c r="I110" s="28" t="n">
        <f aca="false">G110*H110</f>
        <v>2.5023069980323</v>
      </c>
      <c r="J110" s="29" t="n">
        <f aca="false">I110/$I$475</f>
        <v>0.00216301747430554</v>
      </c>
      <c r="K110" s="14" t="n">
        <f aca="false">SUM(J$6:J110)</f>
        <v>0.817184728783873</v>
      </c>
      <c r="L110" s="4" t="str">
        <f aca="false">IF(I110&lt;=0,"-",IF(K110-J110&lt;0.8,"A - top 80%",IF(K110-J110&lt;0.95,"B - next 15%","C - tail")))</f>
        <v>B - next 15%</v>
      </c>
      <c r="M110" s="16" t="n">
        <v>2156248.21428571</v>
      </c>
      <c r="N110" s="16" t="n">
        <v>1949670.04464286</v>
      </c>
      <c r="O110" s="17" t="n">
        <f aca="false">N110-M110</f>
        <v>-206578.169642857</v>
      </c>
      <c r="P110" s="14" t="n">
        <f aca="false">IF(M110&lt;1000,"new",R110)</f>
        <v>-0.0958044478711784</v>
      </c>
      <c r="Q110" s="4" t="str">
        <f aca="false">IF(LEFT(L110,1)="A",IF(R110&lt;-0.05,"2 FIX","1 PROTECT"),IF(AND(N110&gt;=300000,OR(P110="new",R110&gt;=0.25),LEFT(L110,1)&lt;&gt;"-"),"3 SCALE","4 MAINTAIN"))</f>
        <v>4 MAINTAIN</v>
      </c>
      <c r="R110" s="14" t="n">
        <f aca="false">IF(M110&lt;1000,0,N110/M110-1)</f>
        <v>-0.0958044478711784</v>
      </c>
    </row>
    <row r="111" customFormat="false" ht="15" hidden="false" customHeight="false" outlineLevel="0" collapsed="false">
      <c r="A111" s="25" t="n">
        <f aca="false">ROW()-5</f>
        <v>106</v>
      </c>
      <c r="B111" s="4" t="s">
        <v>462</v>
      </c>
      <c r="C111" s="4" t="s">
        <v>463</v>
      </c>
      <c r="D111" s="4" t="s">
        <v>78</v>
      </c>
      <c r="E111" s="4" t="s">
        <v>153</v>
      </c>
      <c r="F111" s="16" t="n">
        <v>542960.714285714</v>
      </c>
      <c r="G111" s="14" t="n">
        <f aca="false">IF(SUMIFS(F$6:F$473,D$6:D$473,D111,E$6:E$473,E111)=0,0,F111/SUMIFS(F$6:F$473,D$6:D$473,D111,E$6:E$473,E111))</f>
        <v>0.0160811251952161</v>
      </c>
      <c r="H111" s="5" t="n">
        <f aca="false">SUMIFS(Pareto_Categories!$G$6:$G$84,Pareto_Categories!$B$6:$B$84,D111,Pareto_Categories!$C$6:$C$84,E111)</f>
        <v>152.006736079647</v>
      </c>
      <c r="I111" s="28" t="n">
        <f aca="false">G111*H111</f>
        <v>2.44443935341297</v>
      </c>
      <c r="J111" s="29" t="n">
        <f aca="false">I111/$I$475</f>
        <v>0.00211299614334697</v>
      </c>
      <c r="K111" s="14" t="n">
        <f aca="false">SUM(J$6:J111)</f>
        <v>0.81929772492722</v>
      </c>
      <c r="L111" s="4" t="str">
        <f aca="false">IF(I111&lt;=0,"-",IF(K111-J111&lt;0.8,"A - top 80%",IF(K111-J111&lt;0.95,"B - next 15%","C - tail")))</f>
        <v>B - next 15%</v>
      </c>
      <c r="M111" s="16" t="n">
        <v>1018226.78571429</v>
      </c>
      <c r="N111" s="16" t="n">
        <v>1099409.69642857</v>
      </c>
      <c r="O111" s="17" t="n">
        <f aca="false">N111-M111</f>
        <v>81182.9107142849</v>
      </c>
      <c r="P111" s="14" t="n">
        <f aca="false">IF(M111&lt;1000,"new",R111)</f>
        <v>0.0797296946547474</v>
      </c>
      <c r="Q111" s="4" t="str">
        <f aca="false">IF(LEFT(L111,1)="A",IF(R111&lt;-0.05,"2 FIX","1 PROTECT"),IF(AND(N111&gt;=300000,OR(P111="new",R111&gt;=0.25),LEFT(L111,1)&lt;&gt;"-"),"3 SCALE","4 MAINTAIN"))</f>
        <v>4 MAINTAIN</v>
      </c>
      <c r="R111" s="14" t="n">
        <f aca="false">IF(M111&lt;1000,0,N111/M111-1)</f>
        <v>0.0797296946547474</v>
      </c>
    </row>
    <row r="112" customFormat="false" ht="15" hidden="false" customHeight="false" outlineLevel="0" collapsed="false">
      <c r="A112" s="25" t="n">
        <f aca="false">ROW()-5</f>
        <v>107</v>
      </c>
      <c r="B112" s="4" t="s">
        <v>464</v>
      </c>
      <c r="C112" s="4" t="s">
        <v>465</v>
      </c>
      <c r="D112" s="4" t="s">
        <v>78</v>
      </c>
      <c r="E112" s="4" t="s">
        <v>164</v>
      </c>
      <c r="F112" s="16" t="n">
        <v>613316.964285714</v>
      </c>
      <c r="G112" s="14" t="n">
        <f aca="false">IF(SUMIFS(F$6:F$473,D$6:D$473,D112,E$6:E$473,E112)=0,0,F112/SUMIFS(F$6:F$473,D$6:D$473,D112,E$6:E$473,E112))</f>
        <v>0.165825810484256</v>
      </c>
      <c r="H112" s="5" t="n">
        <f aca="false">SUMIFS(Pareto_Categories!$G$6:$G$84,Pareto_Categories!$B$6:$B$84,D112,Pareto_Categories!$C$6:$C$84,E112)</f>
        <v>14.7308286998894</v>
      </c>
      <c r="I112" s="28" t="n">
        <f aca="false">G112*H112</f>
        <v>2.4427516082639</v>
      </c>
      <c r="J112" s="29" t="n">
        <f aca="false">I112/$I$475</f>
        <v>0.00211153724072132</v>
      </c>
      <c r="K112" s="14" t="n">
        <f aca="false">SUM(J$6:J112)</f>
        <v>0.821409262167942</v>
      </c>
      <c r="L112" s="4" t="str">
        <f aca="false">IF(I112&lt;=0,"-",IF(K112-J112&lt;0.8,"A - top 80%",IF(K112-J112&lt;0.95,"B - next 15%","C - tail")))</f>
        <v>B - next 15%</v>
      </c>
      <c r="M112" s="16" t="n">
        <v>0</v>
      </c>
      <c r="N112" s="16" t="n">
        <v>1206656.25</v>
      </c>
      <c r="O112" s="17" t="n">
        <f aca="false">N112-M112</f>
        <v>1206656.25</v>
      </c>
      <c r="P112" s="14" t="str">
        <f aca="false">IF(M112&lt;1000,"new",R112)</f>
        <v>new</v>
      </c>
      <c r="Q112" s="4" t="str">
        <f aca="false">IF(LEFT(L112,1)="A",IF(R112&lt;-0.05,"2 FIX","1 PROTECT"),IF(AND(N112&gt;=300000,OR(P112="new",R112&gt;=0.25),LEFT(L112,1)&lt;&gt;"-"),"3 SCALE","4 MAINTAIN"))</f>
        <v>3 SCALE</v>
      </c>
      <c r="R112" s="14" t="n">
        <f aca="false">IF(M112&lt;1000,0,N112/M112-1)</f>
        <v>0</v>
      </c>
    </row>
    <row r="113" customFormat="false" ht="15" hidden="false" customHeight="false" outlineLevel="0" collapsed="false">
      <c r="A113" s="25" t="n">
        <f aca="false">ROW()-5</f>
        <v>108</v>
      </c>
      <c r="B113" s="4" t="s">
        <v>466</v>
      </c>
      <c r="C113" s="4" t="s">
        <v>467</v>
      </c>
      <c r="D113" s="4" t="s">
        <v>78</v>
      </c>
      <c r="E113" s="4" t="s">
        <v>161</v>
      </c>
      <c r="F113" s="16" t="n">
        <v>703087.5</v>
      </c>
      <c r="G113" s="14" t="n">
        <f aca="false">IF(SUMIFS(F$6:F$473,D$6:D$473,D113,E$6:E$473,E113)=0,0,F113/SUMIFS(F$6:F$473,D$6:D$473,D113,E$6:E$473,E113))</f>
        <v>0.10483996318575</v>
      </c>
      <c r="H113" s="5" t="n">
        <f aca="false">SUMIFS(Pareto_Categories!$G$6:$G$84,Pareto_Categories!$B$6:$B$84,D113,Pareto_Categories!$C$6:$C$84,E113)</f>
        <v>23.2065327013405</v>
      </c>
      <c r="I113" s="28" t="n">
        <f aca="false">G113*H113</f>
        <v>2.43297203407744</v>
      </c>
      <c r="J113" s="29" t="n">
        <f aca="false">I113/$I$475</f>
        <v>0.0021030836857126</v>
      </c>
      <c r="K113" s="14" t="n">
        <f aca="false">SUM(J$6:J113)</f>
        <v>0.823512345853654</v>
      </c>
      <c r="L113" s="4" t="str">
        <f aca="false">IF(I113&lt;=0,"-",IF(K113-J113&lt;0.8,"A - top 80%",IF(K113-J113&lt;0.95,"B - next 15%","C - tail")))</f>
        <v>B - next 15%</v>
      </c>
      <c r="M113" s="16" t="n">
        <v>963483.035714286</v>
      </c>
      <c r="N113" s="16" t="n">
        <v>1406942.85714286</v>
      </c>
      <c r="O113" s="17" t="n">
        <f aca="false">N113-M113</f>
        <v>443459.821428571</v>
      </c>
      <c r="P113" s="14" t="n">
        <f aca="false">IF(M113&lt;1000,"new",R113)</f>
        <v>0.460267389243453</v>
      </c>
      <c r="Q113" s="4" t="str">
        <f aca="false">IF(LEFT(L113,1)="A",IF(R113&lt;-0.05,"2 FIX","1 PROTECT"),IF(AND(N113&gt;=300000,OR(P113="new",R113&gt;=0.25),LEFT(L113,1)&lt;&gt;"-"),"3 SCALE","4 MAINTAIN"))</f>
        <v>3 SCALE</v>
      </c>
      <c r="R113" s="14" t="n">
        <f aca="false">IF(M113&lt;1000,0,N113/M113-1)</f>
        <v>0.460267389243453</v>
      </c>
    </row>
    <row r="114" customFormat="false" ht="15" hidden="false" customHeight="false" outlineLevel="0" collapsed="false">
      <c r="A114" s="25" t="n">
        <f aca="false">ROW()-5</f>
        <v>109</v>
      </c>
      <c r="B114" s="4" t="s">
        <v>468</v>
      </c>
      <c r="C114" s="4" t="s">
        <v>469</v>
      </c>
      <c r="D114" s="4" t="s">
        <v>78</v>
      </c>
      <c r="E114" s="4" t="s">
        <v>162</v>
      </c>
      <c r="F114" s="16" t="n">
        <v>762113.392857143</v>
      </c>
      <c r="G114" s="14" t="n">
        <f aca="false">IF(SUMIFS(F$6:F$473,D$6:D$473,D114,E$6:E$473,E114)=0,0,F114/SUMIFS(F$6:F$473,D$6:D$473,D114,E$6:E$473,E114))</f>
        <v>0.116588372462533</v>
      </c>
      <c r="H114" s="5" t="n">
        <f aca="false">SUMIFS(Pareto_Categories!$G$6:$G$84,Pareto_Categories!$B$6:$B$84,D114,Pareto_Categories!$C$6:$C$84,E114)</f>
        <v>20.4788803648929</v>
      </c>
      <c r="I114" s="28" t="n">
        <f aca="false">G114*H114</f>
        <v>2.38759933159779</v>
      </c>
      <c r="J114" s="29" t="n">
        <f aca="false">I114/$I$475</f>
        <v>0.00206386309911106</v>
      </c>
      <c r="K114" s="14" t="n">
        <f aca="false">SUM(J$6:J114)</f>
        <v>0.825576208952765</v>
      </c>
      <c r="L114" s="4" t="str">
        <f aca="false">IF(I114&lt;=0,"-",IF(K114-J114&lt;0.8,"A - top 80%",IF(K114-J114&lt;0.95,"B - next 15%","C - tail")))</f>
        <v>B - next 15%</v>
      </c>
      <c r="M114" s="16" t="n">
        <v>104811.607142857</v>
      </c>
      <c r="N114" s="16" t="n">
        <v>1688378.57142857</v>
      </c>
      <c r="O114" s="17" t="n">
        <f aca="false">N114-M114</f>
        <v>1583566.96428571</v>
      </c>
      <c r="P114" s="14" t="n">
        <f aca="false">IF(M114&lt;1000,"new",R114)</f>
        <v>15.1086984300062</v>
      </c>
      <c r="Q114" s="4" t="str">
        <f aca="false">IF(LEFT(L114,1)="A",IF(R114&lt;-0.05,"2 FIX","1 PROTECT"),IF(AND(N114&gt;=300000,OR(P114="new",R114&gt;=0.25),LEFT(L114,1)&lt;&gt;"-"),"3 SCALE","4 MAINTAIN"))</f>
        <v>3 SCALE</v>
      </c>
      <c r="R114" s="14" t="n">
        <f aca="false">IF(M114&lt;1000,0,N114/M114-1)</f>
        <v>15.1086984300062</v>
      </c>
    </row>
    <row r="115" customFormat="false" ht="15" hidden="false" customHeight="false" outlineLevel="0" collapsed="false">
      <c r="A115" s="25" t="n">
        <f aca="false">ROW()-5</f>
        <v>110</v>
      </c>
      <c r="B115" s="4" t="s">
        <v>470</v>
      </c>
      <c r="C115" s="4" t="s">
        <v>471</v>
      </c>
      <c r="D115" s="4" t="s">
        <v>78</v>
      </c>
      <c r="E115" s="4" t="s">
        <v>157</v>
      </c>
      <c r="F115" s="16" t="n">
        <v>789132.142857143</v>
      </c>
      <c r="G115" s="14" t="n">
        <f aca="false">IF(SUMIFS(F$6:F$473,D$6:D$473,D115,E$6:E$473,E115)=0,0,F115/SUMIFS(F$6:F$473,D$6:D$473,D115,E$6:E$473,E115))</f>
        <v>0.0611205794371563</v>
      </c>
      <c r="H115" s="5" t="n">
        <f aca="false">SUMIFS(Pareto_Categories!$G$6:$G$84,Pareto_Categories!$B$6:$B$84,D115,Pareto_Categories!$C$6:$C$84,E115)</f>
        <v>38.9811115222903</v>
      </c>
      <c r="I115" s="28" t="n">
        <f aca="false">G115*H115</f>
        <v>2.38254812334679</v>
      </c>
      <c r="J115" s="29" t="n">
        <f aca="false">I115/$I$475</f>
        <v>0.00205949678765454</v>
      </c>
      <c r="K115" s="14" t="n">
        <f aca="false">SUM(J$6:J115)</f>
        <v>0.82763570574042</v>
      </c>
      <c r="L115" s="4" t="str">
        <f aca="false">IF(I115&lt;=0,"-",IF(K115-J115&lt;0.8,"A - top 80%",IF(K115-J115&lt;0.95,"B - next 15%","C - tail")))</f>
        <v>B - next 15%</v>
      </c>
      <c r="M115" s="16" t="n">
        <v>1449922.32142857</v>
      </c>
      <c r="N115" s="16" t="n">
        <v>1613299.0625</v>
      </c>
      <c r="O115" s="17" t="n">
        <f aca="false">N115-M115</f>
        <v>163376.741071429</v>
      </c>
      <c r="P115" s="14" t="n">
        <f aca="false">IF(M115&lt;1000,"new",R115)</f>
        <v>0.112679650941892</v>
      </c>
      <c r="Q115" s="4" t="str">
        <f aca="false">IF(LEFT(L115,1)="A",IF(R115&lt;-0.05,"2 FIX","1 PROTECT"),IF(AND(N115&gt;=300000,OR(P115="new",R115&gt;=0.25),LEFT(L115,1)&lt;&gt;"-"),"3 SCALE","4 MAINTAIN"))</f>
        <v>4 MAINTAIN</v>
      </c>
      <c r="R115" s="14" t="n">
        <f aca="false">IF(M115&lt;1000,0,N115/M115-1)</f>
        <v>0.112679650941892</v>
      </c>
    </row>
    <row r="116" customFormat="false" ht="15" hidden="false" customHeight="false" outlineLevel="0" collapsed="false">
      <c r="A116" s="25" t="n">
        <f aca="false">ROW()-5</f>
        <v>111</v>
      </c>
      <c r="B116" s="4" t="s">
        <v>472</v>
      </c>
      <c r="C116" s="4" t="s">
        <v>473</v>
      </c>
      <c r="D116" s="4" t="s">
        <v>78</v>
      </c>
      <c r="E116" s="4" t="s">
        <v>161</v>
      </c>
      <c r="F116" s="16" t="n">
        <v>688258.928571429</v>
      </c>
      <c r="G116" s="14" t="n">
        <f aca="false">IF(SUMIFS(F$6:F$473,D$6:D$473,D116,E$6:E$473,E116)=0,0,F116/SUMIFS(F$6:F$473,D$6:D$473,D116,E$6:E$473,E116))</f>
        <v>0.102628820358337</v>
      </c>
      <c r="H116" s="5" t="n">
        <f aca="false">SUMIFS(Pareto_Categories!$G$6:$G$84,Pareto_Categories!$B$6:$B$84,D116,Pareto_Categories!$C$6:$C$84,E116)</f>
        <v>23.2065327013405</v>
      </c>
      <c r="I116" s="28" t="n">
        <f aca="false">G116*H116</f>
        <v>2.38165907574575</v>
      </c>
      <c r="J116" s="29" t="n">
        <f aca="false">I116/$I$475</f>
        <v>0.00205872828662806</v>
      </c>
      <c r="K116" s="14" t="n">
        <f aca="false">SUM(J$6:J116)</f>
        <v>0.829694434027048</v>
      </c>
      <c r="L116" s="4" t="str">
        <f aca="false">IF(I116&lt;=0,"-",IF(K116-J116&lt;0.8,"A - top 80%",IF(K116-J116&lt;0.95,"B - next 15%","C - tail")))</f>
        <v>B - next 15%</v>
      </c>
      <c r="M116" s="16" t="n">
        <v>985250.892857143</v>
      </c>
      <c r="N116" s="16" t="n">
        <v>1447955.35714286</v>
      </c>
      <c r="O116" s="17" t="n">
        <f aca="false">N116-M116</f>
        <v>462704.464285714</v>
      </c>
      <c r="P116" s="14" t="n">
        <f aca="false">IF(M116&lt;1000,"new",R116)</f>
        <v>0.469631103752579</v>
      </c>
      <c r="Q116" s="4" t="str">
        <f aca="false">IF(LEFT(L116,1)="A",IF(R116&lt;-0.05,"2 FIX","1 PROTECT"),IF(AND(N116&gt;=300000,OR(P116="new",R116&gt;=0.25),LEFT(L116,1)&lt;&gt;"-"),"3 SCALE","4 MAINTAIN"))</f>
        <v>3 SCALE</v>
      </c>
      <c r="R116" s="14" t="n">
        <f aca="false">IF(M116&lt;1000,0,N116/M116-1)</f>
        <v>0.469631103752579</v>
      </c>
    </row>
    <row r="117" customFormat="false" ht="15" hidden="false" customHeight="false" outlineLevel="0" collapsed="false">
      <c r="A117" s="25" t="n">
        <f aca="false">ROW()-5</f>
        <v>112</v>
      </c>
      <c r="B117" s="4" t="s">
        <v>474</v>
      </c>
      <c r="C117" s="4" t="s">
        <v>475</v>
      </c>
      <c r="D117" s="4" t="s">
        <v>78</v>
      </c>
      <c r="E117" s="4" t="s">
        <v>152</v>
      </c>
      <c r="F117" s="16" t="n">
        <v>655075</v>
      </c>
      <c r="G117" s="14" t="n">
        <f aca="false">IF(SUMIFS(F$6:F$473,D$6:D$473,D117,E$6:E$473,E117)=0,0,F117/SUMIFS(F$6:F$473,D$6:D$473,D117,E$6:E$473,E117))</f>
        <v>0.0135153523741875</v>
      </c>
      <c r="H117" s="5" t="n">
        <f aca="false">SUMIFS(Pareto_Categories!$G$6:$G$84,Pareto_Categories!$B$6:$B$84,D117,Pareto_Categories!$C$6:$C$84,E117)</f>
        <v>175.162640843516</v>
      </c>
      <c r="I117" s="28" t="n">
        <f aca="false">G117*H117</f>
        <v>2.36738481379338</v>
      </c>
      <c r="J117" s="29" t="n">
        <f aca="false">I117/$I$475</f>
        <v>0.00204638948165326</v>
      </c>
      <c r="K117" s="14" t="n">
        <f aca="false">SUM(J$6:J117)</f>
        <v>0.831740823508701</v>
      </c>
      <c r="L117" s="4" t="str">
        <f aca="false">IF(I117&lt;=0,"-",IF(K117-J117&lt;0.8,"A - top 80%",IF(K117-J117&lt;0.95,"B - next 15%","C - tail")))</f>
        <v>B - next 15%</v>
      </c>
      <c r="M117" s="16" t="n">
        <v>1363370.53571429</v>
      </c>
      <c r="N117" s="16" t="n">
        <v>1373985.71428571</v>
      </c>
      <c r="O117" s="17" t="n">
        <f aca="false">N117-M117</f>
        <v>10615.1785714291</v>
      </c>
      <c r="P117" s="14" t="n">
        <f aca="false">IF(M117&lt;1000,"new",R117)</f>
        <v>0.00778598208877068</v>
      </c>
      <c r="Q117" s="4" t="str">
        <f aca="false">IF(LEFT(L117,1)="A",IF(R117&lt;-0.05,"2 FIX","1 PROTECT"),IF(AND(N117&gt;=300000,OR(P117="new",R117&gt;=0.25),LEFT(L117,1)&lt;&gt;"-"),"3 SCALE","4 MAINTAIN"))</f>
        <v>4 MAINTAIN</v>
      </c>
      <c r="R117" s="14" t="n">
        <f aca="false">IF(M117&lt;1000,0,N117/M117-1)</f>
        <v>0.00778598208877068</v>
      </c>
    </row>
    <row r="118" customFormat="false" ht="15" hidden="false" customHeight="false" outlineLevel="0" collapsed="false">
      <c r="A118" s="25" t="n">
        <f aca="false">ROW()-5</f>
        <v>113</v>
      </c>
      <c r="B118" s="4" t="s">
        <v>476</v>
      </c>
      <c r="C118" s="4" t="s">
        <v>477</v>
      </c>
      <c r="D118" s="4" t="s">
        <v>78</v>
      </c>
      <c r="E118" s="4" t="s">
        <v>152</v>
      </c>
      <c r="F118" s="16" t="n">
        <v>652395.410714286</v>
      </c>
      <c r="G118" s="14" t="n">
        <f aca="false">IF(SUMIFS(F$6:F$473,D$6:D$473,D118,E$6:E$473,E118)=0,0,F118/SUMIFS(F$6:F$473,D$6:D$473,D118,E$6:E$473,E118))</f>
        <v>0.013460067722179</v>
      </c>
      <c r="H118" s="5" t="n">
        <f aca="false">SUMIFS(Pareto_Categories!$G$6:$G$84,Pareto_Categories!$B$6:$B$84,D118,Pareto_Categories!$C$6:$C$84,E118)</f>
        <v>175.162640843516</v>
      </c>
      <c r="I118" s="28" t="n">
        <f aca="false">G118*H118</f>
        <v>2.35770100814944</v>
      </c>
      <c r="J118" s="29" t="n">
        <f aca="false">I118/$I$475</f>
        <v>0.00203801870986463</v>
      </c>
      <c r="K118" s="14" t="n">
        <f aca="false">SUM(J$6:J118)</f>
        <v>0.833778842218566</v>
      </c>
      <c r="L118" s="4" t="str">
        <f aca="false">IF(I118&lt;=0,"-",IF(K118-J118&lt;0.8,"A - top 80%",IF(K118-J118&lt;0.95,"B - next 15%","C - tail")))</f>
        <v>B - next 15%</v>
      </c>
      <c r="M118" s="16" t="n">
        <v>1497396.97321429</v>
      </c>
      <c r="N118" s="16" t="n">
        <v>1452139.16071429</v>
      </c>
      <c r="O118" s="17" t="n">
        <f aca="false">N118-M118</f>
        <v>-45257.8125</v>
      </c>
      <c r="P118" s="14" t="n">
        <f aca="false">IF(M118&lt;1000,"new",R118)</f>
        <v>-0.0302243248180544</v>
      </c>
      <c r="Q118" s="4" t="str">
        <f aca="false">IF(LEFT(L118,1)="A",IF(R118&lt;-0.05,"2 FIX","1 PROTECT"),IF(AND(N118&gt;=300000,OR(P118="new",R118&gt;=0.25),LEFT(L118,1)&lt;&gt;"-"),"3 SCALE","4 MAINTAIN"))</f>
        <v>4 MAINTAIN</v>
      </c>
      <c r="R118" s="14" t="n">
        <f aca="false">IF(M118&lt;1000,0,N118/M118-1)</f>
        <v>-0.0302243248180544</v>
      </c>
    </row>
    <row r="119" customFormat="false" ht="15" hidden="false" customHeight="false" outlineLevel="0" collapsed="false">
      <c r="A119" s="25" t="n">
        <f aca="false">ROW()-5</f>
        <v>114</v>
      </c>
      <c r="B119" s="4" t="s">
        <v>478</v>
      </c>
      <c r="C119" s="4" t="s">
        <v>479</v>
      </c>
      <c r="D119" s="4" t="s">
        <v>78</v>
      </c>
      <c r="E119" s="4" t="s">
        <v>153</v>
      </c>
      <c r="F119" s="16" t="n">
        <v>514933.928571429</v>
      </c>
      <c r="G119" s="14" t="n">
        <f aca="false">IF(SUMIFS(F$6:F$473,D$6:D$473,D119,E$6:E$473,E119)=0,0,F119/SUMIFS(F$6:F$473,D$6:D$473,D119,E$6:E$473,E119))</f>
        <v>0.0152510425796003</v>
      </c>
      <c r="H119" s="5" t="n">
        <f aca="false">SUMIFS(Pareto_Categories!$G$6:$G$84,Pareto_Categories!$B$6:$B$84,D119,Pareto_Categories!$C$6:$C$84,E119)</f>
        <v>152.006736079647</v>
      </c>
      <c r="I119" s="28" t="n">
        <f aca="false">G119*H119</f>
        <v>2.31826120433675</v>
      </c>
      <c r="J119" s="29" t="n">
        <f aca="false">I119/$I$475</f>
        <v>0.0020039265761268</v>
      </c>
      <c r="K119" s="14" t="n">
        <f aca="false">SUM(J$6:J119)</f>
        <v>0.835782768794693</v>
      </c>
      <c r="L119" s="4" t="str">
        <f aca="false">IF(I119&lt;=0,"-",IF(K119-J119&lt;0.8,"A - top 80%",IF(K119-J119&lt;0.95,"B - next 15%","C - tail")))</f>
        <v>B - next 15%</v>
      </c>
      <c r="M119" s="16" t="n">
        <v>851044.642857143</v>
      </c>
      <c r="N119" s="16" t="n">
        <v>1014822.32142857</v>
      </c>
      <c r="O119" s="17" t="n">
        <f aca="false">N119-M119</f>
        <v>163777.678571428</v>
      </c>
      <c r="P119" s="14" t="n">
        <f aca="false">IF(M119&lt;1000,"new",R119)</f>
        <v>0.192443110882633</v>
      </c>
      <c r="Q119" s="4" t="str">
        <f aca="false">IF(LEFT(L119,1)="A",IF(R119&lt;-0.05,"2 FIX","1 PROTECT"),IF(AND(N119&gt;=300000,OR(P119="new",R119&gt;=0.25),LEFT(L119,1)&lt;&gt;"-"),"3 SCALE","4 MAINTAIN"))</f>
        <v>4 MAINTAIN</v>
      </c>
      <c r="R119" s="14" t="n">
        <f aca="false">IF(M119&lt;1000,0,N119/M119-1)</f>
        <v>0.192443110882633</v>
      </c>
    </row>
    <row r="120" customFormat="false" ht="15" hidden="false" customHeight="false" outlineLevel="0" collapsed="false">
      <c r="A120" s="25" t="n">
        <f aca="false">ROW()-5</f>
        <v>115</v>
      </c>
      <c r="B120" s="4" t="s">
        <v>480</v>
      </c>
      <c r="C120" s="4" t="s">
        <v>481</v>
      </c>
      <c r="D120" s="4" t="s">
        <v>78</v>
      </c>
      <c r="E120" s="4" t="s">
        <v>152</v>
      </c>
      <c r="F120" s="16" t="n">
        <v>620247.321428571</v>
      </c>
      <c r="G120" s="14" t="n">
        <f aca="false">IF(SUMIFS(F$6:F$473,D$6:D$473,D120,E$6:E$473,E120)=0,0,F120/SUMIFS(F$6:F$473,D$6:D$473,D120,E$6:E$473,E120))</f>
        <v>0.012796795951995</v>
      </c>
      <c r="H120" s="5" t="n">
        <f aca="false">SUMIFS(Pareto_Categories!$G$6:$G$84,Pareto_Categories!$B$6:$B$84,D120,Pareto_Categories!$C$6:$C$84,E120)</f>
        <v>175.162640843516</v>
      </c>
      <c r="I120" s="28" t="n">
        <f aca="false">G120*H120</f>
        <v>2.24152057328706</v>
      </c>
      <c r="J120" s="29" t="n">
        <f aca="false">I120/$I$475</f>
        <v>0.00193759125992449</v>
      </c>
      <c r="K120" s="14" t="n">
        <f aca="false">SUM(J$6:J120)</f>
        <v>0.837720360054617</v>
      </c>
      <c r="L120" s="4" t="str">
        <f aca="false">IF(I120&lt;=0,"-",IF(K120-J120&lt;0.8,"A - top 80%",IF(K120-J120&lt;0.95,"B - next 15%","C - tail")))</f>
        <v>B - next 15%</v>
      </c>
      <c r="M120" s="16" t="n">
        <v>1244912.75</v>
      </c>
      <c r="N120" s="16" t="n">
        <v>1174666.96428571</v>
      </c>
      <c r="O120" s="17" t="n">
        <f aca="false">N120-M120</f>
        <v>-70245.7857142859</v>
      </c>
      <c r="P120" s="14" t="n">
        <f aca="false">IF(M120&lt;1000,"new",R120)</f>
        <v>-0.0564262722140856</v>
      </c>
      <c r="Q120" s="4" t="str">
        <f aca="false">IF(LEFT(L120,1)="A",IF(R120&lt;-0.05,"2 FIX","1 PROTECT"),IF(AND(N120&gt;=300000,OR(P120="new",R120&gt;=0.25),LEFT(L120,1)&lt;&gt;"-"),"3 SCALE","4 MAINTAIN"))</f>
        <v>4 MAINTAIN</v>
      </c>
      <c r="R120" s="14" t="n">
        <f aca="false">IF(M120&lt;1000,0,N120/M120-1)</f>
        <v>-0.0564262722140856</v>
      </c>
    </row>
    <row r="121" customFormat="false" ht="15" hidden="false" customHeight="false" outlineLevel="0" collapsed="false">
      <c r="A121" s="25" t="n">
        <f aca="false">ROW()-5</f>
        <v>116</v>
      </c>
      <c r="B121" s="4" t="s">
        <v>482</v>
      </c>
      <c r="C121" s="4" t="s">
        <v>483</v>
      </c>
      <c r="D121" s="4" t="s">
        <v>78</v>
      </c>
      <c r="E121" s="4" t="s">
        <v>154</v>
      </c>
      <c r="F121" s="16" t="n">
        <v>698370.660714286</v>
      </c>
      <c r="G121" s="14" t="n">
        <f aca="false">IF(SUMIFS(F$6:F$473,D$6:D$473,D121,E$6:E$473,E121)=0,0,F121/SUMIFS(F$6:F$473,D$6:D$473,D121,E$6:E$473,E121))</f>
        <v>0.0186186678416824</v>
      </c>
      <c r="H121" s="5" t="n">
        <f aca="false">SUMIFS(Pareto_Categories!$G$6:$G$84,Pareto_Categories!$B$6:$B$84,D121,Pareto_Categories!$C$6:$C$84,E121)</f>
        <v>120.122971429313</v>
      </c>
      <c r="I121" s="28" t="n">
        <f aca="false">G121*H121</f>
        <v>2.23652970519829</v>
      </c>
      <c r="J121" s="29" t="n">
        <f aca="false">I121/$I$475</f>
        <v>0.00193327710706617</v>
      </c>
      <c r="K121" s="14" t="n">
        <f aca="false">SUM(J$6:J121)</f>
        <v>0.839653637161683</v>
      </c>
      <c r="L121" s="4" t="str">
        <f aca="false">IF(I121&lt;=0,"-",IF(K121-J121&lt;0.8,"A - top 80%",IF(K121-J121&lt;0.95,"B - next 15%","C - tail")))</f>
        <v>B - next 15%</v>
      </c>
      <c r="M121" s="16" t="n">
        <v>3152071.42857143</v>
      </c>
      <c r="N121" s="16" t="n">
        <v>1752518.875</v>
      </c>
      <c r="O121" s="17" t="n">
        <f aca="false">N121-M121</f>
        <v>-1399552.55357143</v>
      </c>
      <c r="P121" s="14" t="n">
        <f aca="false">IF(M121&lt;1000,"new",R121)</f>
        <v>-0.444010418319019</v>
      </c>
      <c r="Q121" s="4" t="str">
        <f aca="false">IF(LEFT(L121,1)="A",IF(R121&lt;-0.05,"2 FIX","1 PROTECT"),IF(AND(N121&gt;=300000,OR(P121="new",R121&gt;=0.25),LEFT(L121,1)&lt;&gt;"-"),"3 SCALE","4 MAINTAIN"))</f>
        <v>4 MAINTAIN</v>
      </c>
      <c r="R121" s="14" t="n">
        <f aca="false">IF(M121&lt;1000,0,N121/M121-1)</f>
        <v>-0.444010418319019</v>
      </c>
    </row>
    <row r="122" customFormat="false" ht="15" hidden="false" customHeight="false" outlineLevel="0" collapsed="false">
      <c r="A122" s="25" t="n">
        <f aca="false">ROW()-5</f>
        <v>117</v>
      </c>
      <c r="B122" s="4" t="s">
        <v>484</v>
      </c>
      <c r="C122" s="4" t="s">
        <v>485</v>
      </c>
      <c r="D122" s="4" t="s">
        <v>78</v>
      </c>
      <c r="E122" s="4" t="s">
        <v>157</v>
      </c>
      <c r="F122" s="16" t="n">
        <v>737516.642857143</v>
      </c>
      <c r="G122" s="14" t="n">
        <f aca="false">IF(SUMIFS(F$6:F$473,D$6:D$473,D122,E$6:E$473,E122)=0,0,F122/SUMIFS(F$6:F$473,D$6:D$473,D122,E$6:E$473,E122))</f>
        <v>0.0571228088527313</v>
      </c>
      <c r="H122" s="5" t="n">
        <f aca="false">SUMIFS(Pareto_Categories!$G$6:$G$84,Pareto_Categories!$B$6:$B$84,D122,Pareto_Categories!$C$6:$C$84,E122)</f>
        <v>38.9811115222903</v>
      </c>
      <c r="I122" s="28" t="n">
        <f aca="false">G122*H122</f>
        <v>2.22671058235479</v>
      </c>
      <c r="J122" s="29" t="n">
        <f aca="false">I122/$I$475</f>
        <v>0.00192478936582997</v>
      </c>
      <c r="K122" s="14" t="n">
        <f aca="false">SUM(J$6:J122)</f>
        <v>0.841578426527513</v>
      </c>
      <c r="L122" s="4" t="str">
        <f aca="false">IF(I122&lt;=0,"-",IF(K122-J122&lt;0.8,"A - top 80%",IF(K122-J122&lt;0.95,"B - next 15%","C - tail")))</f>
        <v>B - next 15%</v>
      </c>
      <c r="M122" s="16" t="n">
        <v>1182478.57142857</v>
      </c>
      <c r="N122" s="16" t="n">
        <v>1552418.42857143</v>
      </c>
      <c r="O122" s="17" t="n">
        <f aca="false">N122-M122</f>
        <v>369939.857142858</v>
      </c>
      <c r="P122" s="14" t="n">
        <f aca="false">IF(M122&lt;1000,"new",R122)</f>
        <v>0.312851214458735</v>
      </c>
      <c r="Q122" s="4" t="str">
        <f aca="false">IF(LEFT(L122,1)="A",IF(R122&lt;-0.05,"2 FIX","1 PROTECT"),IF(AND(N122&gt;=300000,OR(P122="new",R122&gt;=0.25),LEFT(L122,1)&lt;&gt;"-"),"3 SCALE","4 MAINTAIN"))</f>
        <v>3 SCALE</v>
      </c>
      <c r="R122" s="14" t="n">
        <f aca="false">IF(M122&lt;1000,0,N122/M122-1)</f>
        <v>0.312851214458735</v>
      </c>
    </row>
    <row r="123" customFormat="false" ht="15" hidden="false" customHeight="false" outlineLevel="0" collapsed="false">
      <c r="A123" s="25" t="n">
        <f aca="false">ROW()-5</f>
        <v>118</v>
      </c>
      <c r="B123" s="4" t="s">
        <v>360</v>
      </c>
      <c r="C123" s="4" t="s">
        <v>361</v>
      </c>
      <c r="D123" s="4" t="s">
        <v>83</v>
      </c>
      <c r="E123" s="4" t="s">
        <v>179</v>
      </c>
      <c r="F123" s="16" t="n">
        <v>898905.357142857</v>
      </c>
      <c r="G123" s="14" t="n">
        <f aca="false">IF(SUMIFS(F$6:F$473,D$6:D$473,D123,E$6:E$473,E123)=0,0,F123/SUMIFS(F$6:F$473,D$6:D$473,D123,E$6:E$473,E123))</f>
        <v>0.125815469128988</v>
      </c>
      <c r="H123" s="5" t="n">
        <f aca="false">SUMIFS(Pareto_Categories!$G$6:$G$84,Pareto_Categories!$B$6:$B$84,D123,Pareto_Categories!$C$6:$C$84,E123)</f>
        <v>17.1493362305561</v>
      </c>
      <c r="I123" s="28" t="n">
        <f aca="false">G123*H123</f>
        <v>2.15765178309816</v>
      </c>
      <c r="J123" s="29" t="n">
        <f aca="false">I123/$I$475</f>
        <v>0.00186509429657423</v>
      </c>
      <c r="K123" s="14" t="n">
        <f aca="false">SUM(J$6:J123)</f>
        <v>0.843443520824087</v>
      </c>
      <c r="L123" s="4" t="str">
        <f aca="false">IF(I123&lt;=0,"-",IF(K123-J123&lt;0.8,"A - top 80%",IF(K123-J123&lt;0.95,"B - next 15%","C - tail")))</f>
        <v>B - next 15%</v>
      </c>
      <c r="M123" s="16" t="n">
        <v>2190928.57142857</v>
      </c>
      <c r="N123" s="16" t="n">
        <v>1877776.78571429</v>
      </c>
      <c r="O123" s="17" t="n">
        <f aca="false">N123-M123</f>
        <v>-313151.785714286</v>
      </c>
      <c r="P123" s="14" t="n">
        <f aca="false">IF(M123&lt;1000,"new",R123)</f>
        <v>-0.142931079450983</v>
      </c>
      <c r="Q123" s="4" t="str">
        <f aca="false">IF(LEFT(L123,1)="A",IF(R123&lt;-0.05,"2 FIX","1 PROTECT"),IF(AND(N123&gt;=300000,OR(P123="new",R123&gt;=0.25),LEFT(L123,1)&lt;&gt;"-"),"3 SCALE","4 MAINTAIN"))</f>
        <v>4 MAINTAIN</v>
      </c>
      <c r="R123" s="14" t="n">
        <f aca="false">IF(M123&lt;1000,0,N123/M123-1)</f>
        <v>-0.142931079450983</v>
      </c>
    </row>
    <row r="124" customFormat="false" ht="15" hidden="false" customHeight="false" outlineLevel="0" collapsed="false">
      <c r="A124" s="25" t="n">
        <f aca="false">ROW()-5</f>
        <v>119</v>
      </c>
      <c r="B124" s="4" t="s">
        <v>418</v>
      </c>
      <c r="C124" s="4" t="s">
        <v>419</v>
      </c>
      <c r="D124" s="4" t="s">
        <v>83</v>
      </c>
      <c r="E124" s="4" t="s">
        <v>225</v>
      </c>
      <c r="F124" s="16" t="n">
        <v>644683.035714286</v>
      </c>
      <c r="G124" s="14" t="n">
        <f aca="false">IF(SUMIFS(F$6:F$473,D$6:D$473,D124,E$6:E$473,E124)=0,0,F124/SUMIFS(F$6:F$473,D$6:D$473,D124,E$6:E$473,E124))</f>
        <v>0.432245802029393</v>
      </c>
      <c r="H124" s="5" t="n">
        <f aca="false">SUMIFS(Pareto_Categories!$G$6:$G$84,Pareto_Categories!$B$6:$B$84,D124,Pareto_Categories!$C$6:$C$84,E124)</f>
        <v>4.95628802452008</v>
      </c>
      <c r="I124" s="28" t="n">
        <f aca="false">G124*H124</f>
        <v>2.14233469224736</v>
      </c>
      <c r="J124" s="29" t="n">
        <f aca="false">I124/$I$475</f>
        <v>0.00185185406058725</v>
      </c>
      <c r="K124" s="14" t="n">
        <f aca="false">SUM(J$6:J124)</f>
        <v>0.845295374884675</v>
      </c>
      <c r="L124" s="4" t="str">
        <f aca="false">IF(I124&lt;=0,"-",IF(K124-J124&lt;0.8,"A - top 80%",IF(K124-J124&lt;0.95,"B - next 15%","C - tail")))</f>
        <v>B - next 15%</v>
      </c>
      <c r="M124" s="16" t="n">
        <v>1305000</v>
      </c>
      <c r="N124" s="16" t="n">
        <v>1216858.03571429</v>
      </c>
      <c r="O124" s="17" t="n">
        <f aca="false">N124-M124</f>
        <v>-88141.964285715</v>
      </c>
      <c r="P124" s="14" t="n">
        <f aca="false">IF(M124&lt;1000,"new",R124)</f>
        <v>-0.0675417350848391</v>
      </c>
      <c r="Q124" s="4" t="str">
        <f aca="false">IF(LEFT(L124,1)="A",IF(R124&lt;-0.05,"2 FIX","1 PROTECT"),IF(AND(N124&gt;=300000,OR(P124="new",R124&gt;=0.25),LEFT(L124,1)&lt;&gt;"-"),"3 SCALE","4 MAINTAIN"))</f>
        <v>4 MAINTAIN</v>
      </c>
      <c r="R124" s="14" t="n">
        <f aca="false">IF(M124&lt;1000,0,N124/M124-1)</f>
        <v>-0.0675417350848391</v>
      </c>
    </row>
    <row r="125" customFormat="false" ht="15" hidden="false" customHeight="false" outlineLevel="0" collapsed="false">
      <c r="A125" s="25" t="n">
        <f aca="false">ROW()-5</f>
        <v>120</v>
      </c>
      <c r="B125" s="4" t="s">
        <v>486</v>
      </c>
      <c r="C125" s="4" t="s">
        <v>487</v>
      </c>
      <c r="D125" s="4" t="s">
        <v>78</v>
      </c>
      <c r="E125" s="4" t="s">
        <v>165</v>
      </c>
      <c r="F125" s="16" t="n">
        <v>452796.973214286</v>
      </c>
      <c r="G125" s="14" t="n">
        <f aca="false">IF(SUMIFS(F$6:F$473,D$6:D$473,D125,E$6:E$473,E125)=0,0,F125/SUMIFS(F$6:F$473,D$6:D$473,D125,E$6:E$473,E125))</f>
        <v>0.128585669957571</v>
      </c>
      <c r="H125" s="5" t="n">
        <f aca="false">SUMIFS(Pareto_Categories!$G$6:$G$84,Pareto_Categories!$B$6:$B$84,D125,Pareto_Categories!$C$6:$C$84,E125)</f>
        <v>16.2037922025372</v>
      </c>
      <c r="I125" s="28" t="n">
        <f aca="false">G125*H125</f>
        <v>2.08357547621651</v>
      </c>
      <c r="J125" s="29" t="n">
        <f aca="false">I125/$I$475</f>
        <v>0.00180106204699693</v>
      </c>
      <c r="K125" s="14" t="n">
        <f aca="false">SUM(J$6:J125)</f>
        <v>0.847096436931672</v>
      </c>
      <c r="L125" s="4" t="str">
        <f aca="false">IF(I125&lt;=0,"-",IF(K125-J125&lt;0.8,"A - top 80%",IF(K125-J125&lt;0.95,"B - next 15%","C - tail")))</f>
        <v>B - next 15%</v>
      </c>
      <c r="M125" s="16" t="n">
        <v>0</v>
      </c>
      <c r="N125" s="16" t="n">
        <v>1234878.9375</v>
      </c>
      <c r="O125" s="17" t="n">
        <f aca="false">N125-M125</f>
        <v>1234878.9375</v>
      </c>
      <c r="P125" s="14" t="str">
        <f aca="false">IF(M125&lt;1000,"new",R125)</f>
        <v>new</v>
      </c>
      <c r="Q125" s="4" t="str">
        <f aca="false">IF(LEFT(L125,1)="A",IF(R125&lt;-0.05,"2 FIX","1 PROTECT"),IF(AND(N125&gt;=300000,OR(P125="new",R125&gt;=0.25),LEFT(L125,1)&lt;&gt;"-"),"3 SCALE","4 MAINTAIN"))</f>
        <v>3 SCALE</v>
      </c>
      <c r="R125" s="14" t="n">
        <f aca="false">IF(M125&lt;1000,0,N125/M125-1)</f>
        <v>0</v>
      </c>
    </row>
    <row r="126" customFormat="false" ht="15" hidden="false" customHeight="false" outlineLevel="0" collapsed="false">
      <c r="A126" s="25" t="n">
        <f aca="false">ROW()-5</f>
        <v>121</v>
      </c>
      <c r="B126" s="4" t="s">
        <v>488</v>
      </c>
      <c r="C126" s="4" t="s">
        <v>489</v>
      </c>
      <c r="D126" s="4" t="s">
        <v>78</v>
      </c>
      <c r="E126" s="4" t="s">
        <v>152</v>
      </c>
      <c r="F126" s="16" t="n">
        <v>576282.017857143</v>
      </c>
      <c r="G126" s="14" t="n">
        <f aca="false">IF(SUMIFS(F$6:F$473,D$6:D$473,D126,E$6:E$473,E126)=0,0,F126/SUMIFS(F$6:F$473,D$6:D$473,D126,E$6:E$473,E126))</f>
        <v>0.0118897142132536</v>
      </c>
      <c r="H126" s="5" t="n">
        <f aca="false">SUMIFS(Pareto_Categories!$G$6:$G$84,Pareto_Categories!$B$6:$B$84,D126,Pareto_Categories!$C$6:$C$84,E126)</f>
        <v>175.162640843516</v>
      </c>
      <c r="I126" s="28" t="n">
        <f aca="false">G126*H126</f>
        <v>2.0826337404682</v>
      </c>
      <c r="J126" s="29" t="n">
        <f aca="false">I126/$I$475</f>
        <v>0.00180024800184524</v>
      </c>
      <c r="K126" s="14" t="n">
        <f aca="false">SUM(J$6:J126)</f>
        <v>0.848896684933517</v>
      </c>
      <c r="L126" s="4" t="str">
        <f aca="false">IF(I126&lt;=0,"-",IF(K126-J126&lt;0.8,"A - top 80%",IF(K126-J126&lt;0.95,"B - next 15%","C - tail")))</f>
        <v>B - next 15%</v>
      </c>
      <c r="M126" s="16" t="n">
        <v>0</v>
      </c>
      <c r="N126" s="16" t="n">
        <v>576282.017857143</v>
      </c>
      <c r="O126" s="17" t="n">
        <f aca="false">N126-M126</f>
        <v>576282.017857143</v>
      </c>
      <c r="P126" s="14" t="str">
        <f aca="false">IF(M126&lt;1000,"new",R126)</f>
        <v>new</v>
      </c>
      <c r="Q126" s="4" t="str">
        <f aca="false">IF(LEFT(L126,1)="A",IF(R126&lt;-0.05,"2 FIX","1 PROTECT"),IF(AND(N126&gt;=300000,OR(P126="new",R126&gt;=0.25),LEFT(L126,1)&lt;&gt;"-"),"3 SCALE","4 MAINTAIN"))</f>
        <v>3 SCALE</v>
      </c>
      <c r="R126" s="14" t="n">
        <f aca="false">IF(M126&lt;1000,0,N126/M126-1)</f>
        <v>0</v>
      </c>
    </row>
    <row r="127" customFormat="false" ht="15" hidden="false" customHeight="false" outlineLevel="0" collapsed="false">
      <c r="A127" s="25" t="n">
        <f aca="false">ROW()-5</f>
        <v>122</v>
      </c>
      <c r="B127" s="4" t="s">
        <v>490</v>
      </c>
      <c r="C127" s="4" t="s">
        <v>491</v>
      </c>
      <c r="D127" s="4" t="s">
        <v>78</v>
      </c>
      <c r="E127" s="4" t="s">
        <v>153</v>
      </c>
      <c r="F127" s="16" t="n">
        <v>457666.964285714</v>
      </c>
      <c r="G127" s="14" t="n">
        <f aca="false">IF(SUMIFS(F$6:F$473,D$6:D$473,D127,E$6:E$473,E127)=0,0,F127/SUMIFS(F$6:F$473,D$6:D$473,D127,E$6:E$473,E127))</f>
        <v>0.0135549397161729</v>
      </c>
      <c r="H127" s="5" t="n">
        <f aca="false">SUMIFS(Pareto_Categories!$G$6:$G$84,Pareto_Categories!$B$6:$B$84,D127,Pareto_Categories!$C$6:$C$84,E127)</f>
        <v>152.006736079647</v>
      </c>
      <c r="I127" s="28" t="n">
        <f aca="false">G127*H127</f>
        <v>2.06044214401182</v>
      </c>
      <c r="J127" s="29" t="n">
        <f aca="false">I127/$I$475</f>
        <v>0.00178106537918719</v>
      </c>
      <c r="K127" s="14" t="n">
        <f aca="false">SUM(J$6:J127)</f>
        <v>0.850677750312704</v>
      </c>
      <c r="L127" s="4" t="str">
        <f aca="false">IF(I127&lt;=0,"-",IF(K127-J127&lt;0.8,"A - top 80%",IF(K127-J127&lt;0.95,"B - next 15%","C - tail")))</f>
        <v>B - next 15%</v>
      </c>
      <c r="M127" s="16" t="n">
        <v>3285968.75</v>
      </c>
      <c r="N127" s="16" t="n">
        <v>2055156.25</v>
      </c>
      <c r="O127" s="17" t="n">
        <f aca="false">N127-M127</f>
        <v>-1230812.5</v>
      </c>
      <c r="P127" s="14" t="n">
        <f aca="false">IF(M127&lt;1000,"new",R127)</f>
        <v>-0.374566100179742</v>
      </c>
      <c r="Q127" s="4" t="str">
        <f aca="false">IF(LEFT(L127,1)="A",IF(R127&lt;-0.05,"2 FIX","1 PROTECT"),IF(AND(N127&gt;=300000,OR(P127="new",R127&gt;=0.25),LEFT(L127,1)&lt;&gt;"-"),"3 SCALE","4 MAINTAIN"))</f>
        <v>4 MAINTAIN</v>
      </c>
      <c r="R127" s="14" t="n">
        <f aca="false">IF(M127&lt;1000,0,N127/M127-1)</f>
        <v>-0.374566100179742</v>
      </c>
    </row>
    <row r="128" customFormat="false" ht="15" hidden="false" customHeight="false" outlineLevel="0" collapsed="false">
      <c r="A128" s="25" t="n">
        <f aca="false">ROW()-5</f>
        <v>123</v>
      </c>
      <c r="B128" s="4" t="s">
        <v>492</v>
      </c>
      <c r="C128" s="4" t="s">
        <v>493</v>
      </c>
      <c r="D128" s="4" t="s">
        <v>78</v>
      </c>
      <c r="E128" s="4" t="s">
        <v>164</v>
      </c>
      <c r="F128" s="16" t="n">
        <v>517199.107142857</v>
      </c>
      <c r="G128" s="14" t="n">
        <f aca="false">IF(SUMIFS(F$6:F$473,D$6:D$473,D128,E$6:E$473,E128)=0,0,F128/SUMIFS(F$6:F$473,D$6:D$473,D128,E$6:E$473,E128))</f>
        <v>0.139837907832179</v>
      </c>
      <c r="H128" s="5" t="n">
        <f aca="false">SUMIFS(Pareto_Categories!$G$6:$G$84,Pareto_Categories!$B$6:$B$84,D128,Pareto_Categories!$C$6:$C$84,E128)</f>
        <v>14.7308286998894</v>
      </c>
      <c r="I128" s="28" t="n">
        <f aca="false">G128*H128</f>
        <v>2.05992826602676</v>
      </c>
      <c r="J128" s="29" t="n">
        <f aca="false">I128/$I$475</f>
        <v>0.0017806211782709</v>
      </c>
      <c r="K128" s="14" t="n">
        <f aca="false">SUM(J$6:J128)</f>
        <v>0.852458371490975</v>
      </c>
      <c r="L128" s="4" t="str">
        <f aca="false">IF(I128&lt;=0,"-",IF(K128-J128&lt;0.8,"A - top 80%",IF(K128-J128&lt;0.95,"B - next 15%","C - tail")))</f>
        <v>B - next 15%</v>
      </c>
      <c r="M128" s="16" t="n">
        <v>0</v>
      </c>
      <c r="N128" s="16" t="n">
        <v>1192428.57142857</v>
      </c>
      <c r="O128" s="17" t="n">
        <f aca="false">N128-M128</f>
        <v>1192428.57142857</v>
      </c>
      <c r="P128" s="14" t="str">
        <f aca="false">IF(M128&lt;1000,"new",R128)</f>
        <v>new</v>
      </c>
      <c r="Q128" s="4" t="str">
        <f aca="false">IF(LEFT(L128,1)="A",IF(R128&lt;-0.05,"2 FIX","1 PROTECT"),IF(AND(N128&gt;=300000,OR(P128="new",R128&gt;=0.25),LEFT(L128,1)&lt;&gt;"-"),"3 SCALE","4 MAINTAIN"))</f>
        <v>3 SCALE</v>
      </c>
      <c r="R128" s="14" t="n">
        <f aca="false">IF(M128&lt;1000,0,N128/M128-1)</f>
        <v>0</v>
      </c>
    </row>
    <row r="129" customFormat="false" ht="15" hidden="false" customHeight="false" outlineLevel="0" collapsed="false">
      <c r="A129" s="25" t="n">
        <f aca="false">ROW()-5</f>
        <v>124</v>
      </c>
      <c r="B129" s="4" t="s">
        <v>494</v>
      </c>
      <c r="C129" s="4" t="s">
        <v>495</v>
      </c>
      <c r="D129" s="4" t="s">
        <v>78</v>
      </c>
      <c r="E129" s="4" t="s">
        <v>154</v>
      </c>
      <c r="F129" s="16" t="n">
        <v>635158.928571429</v>
      </c>
      <c r="G129" s="14" t="n">
        <f aca="false">IF(SUMIFS(F$6:F$473,D$6:D$473,D129,E$6:E$473,E129)=0,0,F129/SUMIFS(F$6:F$473,D$6:D$473,D129,E$6:E$473,E129))</f>
        <v>0.0169334334659119</v>
      </c>
      <c r="H129" s="5" t="n">
        <f aca="false">SUMIFS(Pareto_Categories!$G$6:$G$84,Pareto_Categories!$B$6:$B$84,D129,Pareto_Categories!$C$6:$C$84,E129)</f>
        <v>120.122971429313</v>
      </c>
      <c r="I129" s="28" t="n">
        <f aca="false">G129*H129</f>
        <v>2.03409434442591</v>
      </c>
      <c r="J129" s="29" t="n">
        <f aca="false">I129/$I$475</f>
        <v>0.00175829009583521</v>
      </c>
      <c r="K129" s="14" t="n">
        <f aca="false">SUM(J$6:J129)</f>
        <v>0.85421666158681</v>
      </c>
      <c r="L129" s="4" t="str">
        <f aca="false">IF(I129&lt;=0,"-",IF(K129-J129&lt;0.8,"A - top 80%",IF(K129-J129&lt;0.95,"B - next 15%","C - tail")))</f>
        <v>B - next 15%</v>
      </c>
      <c r="M129" s="16" t="n">
        <v>2785728.57142857</v>
      </c>
      <c r="N129" s="16" t="n">
        <v>1796291.25892857</v>
      </c>
      <c r="O129" s="17" t="n">
        <f aca="false">N129-M129</f>
        <v>-989437.3125</v>
      </c>
      <c r="P129" s="14" t="n">
        <f aca="false">IF(M129&lt;1000,"new",R129)</f>
        <v>-0.355180803559982</v>
      </c>
      <c r="Q129" s="4" t="str">
        <f aca="false">IF(LEFT(L129,1)="A",IF(R129&lt;-0.05,"2 FIX","1 PROTECT"),IF(AND(N129&gt;=300000,OR(P129="new",R129&gt;=0.25),LEFT(L129,1)&lt;&gt;"-"),"3 SCALE","4 MAINTAIN"))</f>
        <v>4 MAINTAIN</v>
      </c>
      <c r="R129" s="14" t="n">
        <f aca="false">IF(M129&lt;1000,0,N129/M129-1)</f>
        <v>-0.355180803559982</v>
      </c>
    </row>
    <row r="130" customFormat="false" ht="15" hidden="false" customHeight="false" outlineLevel="0" collapsed="false">
      <c r="A130" s="25" t="n">
        <f aca="false">ROW()-5</f>
        <v>125</v>
      </c>
      <c r="B130" s="4" t="s">
        <v>496</v>
      </c>
      <c r="C130" s="4" t="s">
        <v>497</v>
      </c>
      <c r="D130" s="4" t="s">
        <v>78</v>
      </c>
      <c r="E130" s="4" t="s">
        <v>154</v>
      </c>
      <c r="F130" s="16" t="n">
        <v>627609.625</v>
      </c>
      <c r="G130" s="14" t="n">
        <f aca="false">IF(SUMIFS(F$6:F$473,D$6:D$473,D130,E$6:E$473,E130)=0,0,F130/SUMIFS(F$6:F$473,D$6:D$473,D130,E$6:E$473,E130))</f>
        <v>0.016732167886558</v>
      </c>
      <c r="H130" s="5" t="n">
        <f aca="false">SUMIFS(Pareto_Categories!$G$6:$G$84,Pareto_Categories!$B$6:$B$84,D130,Pareto_Categories!$C$6:$C$84,E130)</f>
        <v>120.122971429313</v>
      </c>
      <c r="I130" s="28" t="n">
        <f aca="false">G130*H130</f>
        <v>2.00991772498748</v>
      </c>
      <c r="J130" s="29" t="n">
        <f aca="false">I130/$I$475</f>
        <v>0.00173739160082396</v>
      </c>
      <c r="K130" s="14" t="n">
        <f aca="false">SUM(J$6:J130)</f>
        <v>0.855954053187634</v>
      </c>
      <c r="L130" s="4" t="str">
        <f aca="false">IF(I130&lt;=0,"-",IF(K130-J130&lt;0.8,"A - top 80%",IF(K130-J130&lt;0.95,"B - next 15%","C - tail")))</f>
        <v>B - next 15%</v>
      </c>
      <c r="M130" s="16" t="n">
        <v>1282900</v>
      </c>
      <c r="N130" s="16" t="n">
        <v>1265455.16071429</v>
      </c>
      <c r="O130" s="17" t="n">
        <f aca="false">N130-M130</f>
        <v>-17444.8392857141</v>
      </c>
      <c r="P130" s="14" t="n">
        <f aca="false">IF(M130&lt;1000,"new",R130)</f>
        <v>-0.0135979727848734</v>
      </c>
      <c r="Q130" s="4" t="str">
        <f aca="false">IF(LEFT(L130,1)="A",IF(R130&lt;-0.05,"2 FIX","1 PROTECT"),IF(AND(N130&gt;=300000,OR(P130="new",R130&gt;=0.25),LEFT(L130,1)&lt;&gt;"-"),"3 SCALE","4 MAINTAIN"))</f>
        <v>4 MAINTAIN</v>
      </c>
      <c r="R130" s="14" t="n">
        <f aca="false">IF(M130&lt;1000,0,N130/M130-1)</f>
        <v>-0.0135979727848734</v>
      </c>
    </row>
    <row r="131" customFormat="false" ht="15" hidden="false" customHeight="false" outlineLevel="0" collapsed="false">
      <c r="A131" s="25" t="n">
        <f aca="false">ROW()-5</f>
        <v>126</v>
      </c>
      <c r="B131" s="4" t="s">
        <v>498</v>
      </c>
      <c r="C131" s="4" t="s">
        <v>499</v>
      </c>
      <c r="D131" s="4" t="s">
        <v>78</v>
      </c>
      <c r="E131" s="4" t="s">
        <v>164</v>
      </c>
      <c r="F131" s="16" t="n">
        <v>504178.3125</v>
      </c>
      <c r="G131" s="14" t="n">
        <f aca="false">IF(SUMIFS(F$6:F$473,D$6:D$473,D131,E$6:E$473,E131)=0,0,F131/SUMIFS(F$6:F$473,D$6:D$473,D131,E$6:E$473,E131))</f>
        <v>0.136317405464671</v>
      </c>
      <c r="H131" s="5" t="n">
        <f aca="false">SUMIFS(Pareto_Categories!$G$6:$G$84,Pareto_Categories!$B$6:$B$84,D131,Pareto_Categories!$C$6:$C$84,E131)</f>
        <v>14.7308286998894</v>
      </c>
      <c r="I131" s="28" t="n">
        <f aca="false">G131*H131</f>
        <v>2.00806834871344</v>
      </c>
      <c r="J131" s="29" t="n">
        <f aca="false">I131/$I$475</f>
        <v>0.00173579298274854</v>
      </c>
      <c r="K131" s="14" t="n">
        <f aca="false">SUM(J$6:J131)</f>
        <v>0.857689846170383</v>
      </c>
      <c r="L131" s="4" t="str">
        <f aca="false">IF(I131&lt;=0,"-",IF(K131-J131&lt;0.8,"A - top 80%",IF(K131-J131&lt;0.95,"B - next 15%","C - tail")))</f>
        <v>B - next 15%</v>
      </c>
      <c r="M131" s="16" t="n">
        <v>0</v>
      </c>
      <c r="N131" s="16" t="n">
        <v>1070871.52678571</v>
      </c>
      <c r="O131" s="17" t="n">
        <f aca="false">N131-M131</f>
        <v>1070871.52678571</v>
      </c>
      <c r="P131" s="14" t="str">
        <f aca="false">IF(M131&lt;1000,"new",R131)</f>
        <v>new</v>
      </c>
      <c r="Q131" s="4" t="str">
        <f aca="false">IF(LEFT(L131,1)="A",IF(R131&lt;-0.05,"2 FIX","1 PROTECT"),IF(AND(N131&gt;=300000,OR(P131="new",R131&gt;=0.25),LEFT(L131,1)&lt;&gt;"-"),"3 SCALE","4 MAINTAIN"))</f>
        <v>3 SCALE</v>
      </c>
      <c r="R131" s="14" t="n">
        <f aca="false">IF(M131&lt;1000,0,N131/M131-1)</f>
        <v>0</v>
      </c>
    </row>
    <row r="132" customFormat="false" ht="15" hidden="false" customHeight="false" outlineLevel="0" collapsed="false">
      <c r="A132" s="25" t="n">
        <f aca="false">ROW()-5</f>
        <v>127</v>
      </c>
      <c r="B132" s="4" t="s">
        <v>412</v>
      </c>
      <c r="C132" s="4" t="s">
        <v>413</v>
      </c>
      <c r="D132" s="4" t="s">
        <v>83</v>
      </c>
      <c r="E132" s="4" t="s">
        <v>179</v>
      </c>
      <c r="F132" s="16" t="n">
        <v>836497.321428571</v>
      </c>
      <c r="G132" s="14" t="n">
        <f aca="false">IF(SUMIFS(F$6:F$473,D$6:D$473,D132,E$6:E$473,E132)=0,0,F132/SUMIFS(F$6:F$473,D$6:D$473,D132,E$6:E$473,E132))</f>
        <v>0.117080515856745</v>
      </c>
      <c r="H132" s="5" t="n">
        <f aca="false">SUMIFS(Pareto_Categories!$G$6:$G$84,Pareto_Categories!$B$6:$B$84,D132,Pareto_Categories!$C$6:$C$84,E132)</f>
        <v>17.1493362305561</v>
      </c>
      <c r="I132" s="28" t="n">
        <f aca="false">G132*H132</f>
        <v>2.00785313247427</v>
      </c>
      <c r="J132" s="29" t="n">
        <f aca="false">I132/$I$475</f>
        <v>0.00173560694782699</v>
      </c>
      <c r="K132" s="14" t="n">
        <f aca="false">SUM(J$6:J132)</f>
        <v>0.85942545311821</v>
      </c>
      <c r="L132" s="4" t="str">
        <f aca="false">IF(I132&lt;=0,"-",IF(K132-J132&lt;0.8,"A - top 80%",IF(K132-J132&lt;0.95,"B - next 15%","C - tail")))</f>
        <v>B - next 15%</v>
      </c>
      <c r="M132" s="16" t="n">
        <v>1382192.85714286</v>
      </c>
      <c r="N132" s="16" t="n">
        <v>1476490.17857143</v>
      </c>
      <c r="O132" s="17" t="n">
        <f aca="false">N132-M132</f>
        <v>94297.3214285709</v>
      </c>
      <c r="P132" s="14" t="n">
        <f aca="false">IF(M132&lt;1000,"new",R132)</f>
        <v>0.0682229841814503</v>
      </c>
      <c r="Q132" s="4" t="str">
        <f aca="false">IF(LEFT(L132,1)="A",IF(R132&lt;-0.05,"2 FIX","1 PROTECT"),IF(AND(N132&gt;=300000,OR(P132="new",R132&gt;=0.25),LEFT(L132,1)&lt;&gt;"-"),"3 SCALE","4 MAINTAIN"))</f>
        <v>4 MAINTAIN</v>
      </c>
      <c r="R132" s="14" t="n">
        <f aca="false">IF(M132&lt;1000,0,N132/M132-1)</f>
        <v>0.0682229841814503</v>
      </c>
    </row>
    <row r="133" customFormat="false" ht="15" hidden="false" customHeight="false" outlineLevel="0" collapsed="false">
      <c r="A133" s="25" t="n">
        <f aca="false">ROW()-5</f>
        <v>128</v>
      </c>
      <c r="B133" s="4" t="s">
        <v>500</v>
      </c>
      <c r="C133" s="4" t="s">
        <v>501</v>
      </c>
      <c r="D133" s="4" t="s">
        <v>78</v>
      </c>
      <c r="E133" s="4" t="s">
        <v>154</v>
      </c>
      <c r="F133" s="16" t="n">
        <v>621892.285714286</v>
      </c>
      <c r="G133" s="14" t="n">
        <f aca="false">IF(SUMIFS(F$6:F$473,D$6:D$473,D133,E$6:E$473,E133)=0,0,F133/SUMIFS(F$6:F$473,D$6:D$473,D133,E$6:E$473,E133))</f>
        <v>0.0165797427531911</v>
      </c>
      <c r="H133" s="5" t="n">
        <f aca="false">SUMIFS(Pareto_Categories!$G$6:$G$84,Pareto_Categories!$B$6:$B$84,D133,Pareto_Categories!$C$6:$C$84,E133)</f>
        <v>120.122971429313</v>
      </c>
      <c r="I133" s="28" t="n">
        <f aca="false">G133*H133</f>
        <v>1.99160796504693</v>
      </c>
      <c r="J133" s="29" t="n">
        <f aca="false">I133/$I$475</f>
        <v>0.00172156447380363</v>
      </c>
      <c r="K133" s="14" t="n">
        <f aca="false">SUM(J$6:J133)</f>
        <v>0.861147017592013</v>
      </c>
      <c r="L133" s="4" t="str">
        <f aca="false">IF(I133&lt;=0,"-",IF(K133-J133&lt;0.8,"A - top 80%",IF(K133-J133&lt;0.95,"B - next 15%","C - tail")))</f>
        <v>B - next 15%</v>
      </c>
      <c r="M133" s="16" t="n">
        <v>1264587.94642857</v>
      </c>
      <c r="N133" s="16" t="n">
        <v>1380366.58928571</v>
      </c>
      <c r="O133" s="17" t="n">
        <f aca="false">N133-M133</f>
        <v>115778.642857143</v>
      </c>
      <c r="P133" s="14" t="n">
        <f aca="false">IF(M133&lt;1000,"new",R133)</f>
        <v>0.0915544412582166</v>
      </c>
      <c r="Q133" s="4" t="str">
        <f aca="false">IF(LEFT(L133,1)="A",IF(R133&lt;-0.05,"2 FIX","1 PROTECT"),IF(AND(N133&gt;=300000,OR(P133="new",R133&gt;=0.25),LEFT(L133,1)&lt;&gt;"-"),"3 SCALE","4 MAINTAIN"))</f>
        <v>4 MAINTAIN</v>
      </c>
      <c r="R133" s="14" t="n">
        <f aca="false">IF(M133&lt;1000,0,N133/M133-1)</f>
        <v>0.0915544412582166</v>
      </c>
    </row>
    <row r="134" customFormat="false" ht="15" hidden="false" customHeight="false" outlineLevel="0" collapsed="false">
      <c r="A134" s="25" t="n">
        <f aca="false">ROW()-5</f>
        <v>129</v>
      </c>
      <c r="B134" s="4" t="s">
        <v>502</v>
      </c>
      <c r="C134" s="4" t="s">
        <v>503</v>
      </c>
      <c r="D134" s="4" t="s">
        <v>78</v>
      </c>
      <c r="E134" s="4" t="s">
        <v>152</v>
      </c>
      <c r="F134" s="16" t="n">
        <v>548773.214285714</v>
      </c>
      <c r="G134" s="14" t="n">
        <f aca="false">IF(SUMIFS(F$6:F$473,D$6:D$473,D134,E$6:E$473,E134)=0,0,F134/SUMIFS(F$6:F$473,D$6:D$473,D134,E$6:E$473,E134))</f>
        <v>0.0113221590880234</v>
      </c>
      <c r="H134" s="5" t="n">
        <f aca="false">SUMIFS(Pareto_Categories!$G$6:$G$84,Pareto_Categories!$B$6:$B$84,D134,Pareto_Categories!$C$6:$C$84,E134)</f>
        <v>175.162640843516</v>
      </c>
      <c r="I134" s="28" t="n">
        <f aca="false">G134*H134</f>
        <v>1.9832192859086</v>
      </c>
      <c r="J134" s="29" t="n">
        <f aca="false">I134/$I$475</f>
        <v>0.00171431322142859</v>
      </c>
      <c r="K134" s="14" t="n">
        <f aca="false">SUM(J$6:J134)</f>
        <v>0.862861330813442</v>
      </c>
      <c r="L134" s="4" t="str">
        <f aca="false">IF(I134&lt;=0,"-",IF(K134-J134&lt;0.8,"A - top 80%",IF(K134-J134&lt;0.95,"B - next 15%","C - tail")))</f>
        <v>B - next 15%</v>
      </c>
      <c r="M134" s="16" t="n">
        <v>1141581.91964286</v>
      </c>
      <c r="N134" s="16" t="n">
        <v>1275358.92857143</v>
      </c>
      <c r="O134" s="17" t="n">
        <f aca="false">N134-M134</f>
        <v>133777.008928571</v>
      </c>
      <c r="P134" s="14" t="n">
        <f aca="false">IF(M134&lt;1000,"new",R134)</f>
        <v>0.117185640930984</v>
      </c>
      <c r="Q134" s="4" t="str">
        <f aca="false">IF(LEFT(L134,1)="A",IF(R134&lt;-0.05,"2 FIX","1 PROTECT"),IF(AND(N134&gt;=300000,OR(P134="new",R134&gt;=0.25),LEFT(L134,1)&lt;&gt;"-"),"3 SCALE","4 MAINTAIN"))</f>
        <v>4 MAINTAIN</v>
      </c>
      <c r="R134" s="14" t="n">
        <f aca="false">IF(M134&lt;1000,0,N134/M134-1)</f>
        <v>0.117185640930984</v>
      </c>
    </row>
    <row r="135" customFormat="false" ht="15" hidden="false" customHeight="false" outlineLevel="0" collapsed="false">
      <c r="A135" s="25" t="n">
        <f aca="false">ROW()-5</f>
        <v>130</v>
      </c>
      <c r="B135" s="4" t="s">
        <v>504</v>
      </c>
      <c r="C135" s="4" t="s">
        <v>505</v>
      </c>
      <c r="D135" s="4" t="s">
        <v>78</v>
      </c>
      <c r="E135" s="4" t="s">
        <v>151</v>
      </c>
      <c r="F135" s="16" t="n">
        <v>587089.348214286</v>
      </c>
      <c r="G135" s="14" t="n">
        <f aca="false">IF(SUMIFS(F$6:F$473,D$6:D$473,D135,E$6:E$473,E135)=0,0,F135/SUMIFS(F$6:F$473,D$6:D$473,D135,E$6:E$473,E135))</f>
        <v>0.0102404677982492</v>
      </c>
      <c r="H135" s="5" t="n">
        <f aca="false">SUMIFS(Pareto_Categories!$G$6:$G$84,Pareto_Categories!$B$6:$B$84,D135,Pareto_Categories!$C$6:$C$84,E135)</f>
        <v>192.620734264564</v>
      </c>
      <c r="I135" s="28" t="n">
        <f aca="false">G135*H135</f>
        <v>1.97252642651138</v>
      </c>
      <c r="J135" s="29" t="n">
        <f aca="false">I135/$I$475</f>
        <v>0.00170507021417781</v>
      </c>
      <c r="K135" s="14" t="n">
        <f aca="false">SUM(J$6:J135)</f>
        <v>0.86456640102762</v>
      </c>
      <c r="L135" s="4" t="str">
        <f aca="false">IF(I135&lt;=0,"-",IF(K135-J135&lt;0.8,"A - top 80%",IF(K135-J135&lt;0.95,"B - next 15%","C - tail")))</f>
        <v>B - next 15%</v>
      </c>
      <c r="M135" s="16" t="n">
        <v>1438293.75</v>
      </c>
      <c r="N135" s="16" t="n">
        <v>1372418.8125</v>
      </c>
      <c r="O135" s="17" t="n">
        <f aca="false">N135-M135</f>
        <v>-65874.9375</v>
      </c>
      <c r="P135" s="14" t="n">
        <f aca="false">IF(M135&lt;1000,"new",R135)</f>
        <v>-0.0458007534969821</v>
      </c>
      <c r="Q135" s="4" t="str">
        <f aca="false">IF(LEFT(L135,1)="A",IF(R135&lt;-0.05,"2 FIX","1 PROTECT"),IF(AND(N135&gt;=300000,OR(P135="new",R135&gt;=0.25),LEFT(L135,1)&lt;&gt;"-"),"3 SCALE","4 MAINTAIN"))</f>
        <v>4 MAINTAIN</v>
      </c>
      <c r="R135" s="14" t="n">
        <f aca="false">IF(M135&lt;1000,0,N135/M135-1)</f>
        <v>-0.0458007534969821</v>
      </c>
    </row>
    <row r="136" customFormat="false" ht="15" hidden="false" customHeight="false" outlineLevel="0" collapsed="false">
      <c r="A136" s="25" t="n">
        <f aca="false">ROW()-5</f>
        <v>131</v>
      </c>
      <c r="B136" s="4" t="s">
        <v>506</v>
      </c>
      <c r="C136" s="4" t="s">
        <v>507</v>
      </c>
      <c r="D136" s="4" t="s">
        <v>78</v>
      </c>
      <c r="E136" s="4" t="s">
        <v>166</v>
      </c>
      <c r="F136" s="16" t="n">
        <v>481017.169642857</v>
      </c>
      <c r="G136" s="14" t="n">
        <f aca="false">IF(SUMIFS(F$6:F$473,D$6:D$473,D136,E$6:E$473,E136)=0,0,F136/SUMIFS(F$6:F$473,D$6:D$473,D136,E$6:E$473,E136))</f>
        <v>0.141727965269933</v>
      </c>
      <c r="H136" s="5" t="n">
        <f aca="false">SUMIFS(Pareto_Categories!$G$6:$G$84,Pareto_Categories!$B$6:$B$84,D136,Pareto_Categories!$C$6:$C$84,E136)</f>
        <v>13.503490691206</v>
      </c>
      <c r="I136" s="28" t="n">
        <f aca="false">G136*H136</f>
        <v>1.9138222597061</v>
      </c>
      <c r="J136" s="29" t="n">
        <f aca="false">I136/$I$475</f>
        <v>0.00165432578565077</v>
      </c>
      <c r="K136" s="14" t="n">
        <f aca="false">SUM(J$6:J136)</f>
        <v>0.86622072681327</v>
      </c>
      <c r="L136" s="4" t="str">
        <f aca="false">IF(I136&lt;=0,"-",IF(K136-J136&lt;0.8,"A - top 80%",IF(K136-J136&lt;0.95,"B - next 15%","C - tail")))</f>
        <v>B - next 15%</v>
      </c>
      <c r="M136" s="16" t="n">
        <v>970183.758928571</v>
      </c>
      <c r="N136" s="16" t="n">
        <v>993343.0625</v>
      </c>
      <c r="O136" s="17" t="n">
        <f aca="false">N136-M136</f>
        <v>23159.3035714285</v>
      </c>
      <c r="P136" s="14" t="n">
        <f aca="false">IF(M136&lt;1000,"new",R136)</f>
        <v>0.0238710485083822</v>
      </c>
      <c r="Q136" s="4" t="str">
        <f aca="false">IF(LEFT(L136,1)="A",IF(R136&lt;-0.05,"2 FIX","1 PROTECT"),IF(AND(N136&gt;=300000,OR(P136="new",R136&gt;=0.25),LEFT(L136,1)&lt;&gt;"-"),"3 SCALE","4 MAINTAIN"))</f>
        <v>4 MAINTAIN</v>
      </c>
      <c r="R136" s="14" t="n">
        <f aca="false">IF(M136&lt;1000,0,N136/M136-1)</f>
        <v>0.0238710485083822</v>
      </c>
    </row>
    <row r="137" customFormat="false" ht="15" hidden="false" customHeight="false" outlineLevel="0" collapsed="false">
      <c r="A137" s="25" t="n">
        <f aca="false">ROW()-5</f>
        <v>132</v>
      </c>
      <c r="B137" s="4" t="s">
        <v>508</v>
      </c>
      <c r="C137" s="4" t="s">
        <v>509</v>
      </c>
      <c r="D137" s="4" t="s">
        <v>78</v>
      </c>
      <c r="E137" s="4" t="s">
        <v>154</v>
      </c>
      <c r="F137" s="16" t="n">
        <v>589533.035714286</v>
      </c>
      <c r="G137" s="14" t="n">
        <f aca="false">IF(SUMIFS(F$6:F$473,D$6:D$473,D137,E$6:E$473,E137)=0,0,F137/SUMIFS(F$6:F$473,D$6:D$473,D137,E$6:E$473,E137))</f>
        <v>0.0157170402353909</v>
      </c>
      <c r="H137" s="5" t="n">
        <f aca="false">SUMIFS(Pareto_Categories!$G$6:$G$84,Pareto_Categories!$B$6:$B$84,D137,Pareto_Categories!$C$6:$C$84,E137)</f>
        <v>120.122971429313</v>
      </c>
      <c r="I137" s="28" t="n">
        <f aca="false">G137*H137</f>
        <v>1.88797757514923</v>
      </c>
      <c r="J137" s="29" t="n">
        <f aca="false">I137/$I$475</f>
        <v>0.00163198539961565</v>
      </c>
      <c r="K137" s="14" t="n">
        <f aca="false">SUM(J$6:J137)</f>
        <v>0.867852712212886</v>
      </c>
      <c r="L137" s="4" t="str">
        <f aca="false">IF(I137&lt;=0,"-",IF(K137-J137&lt;0.8,"A - top 80%",IF(K137-J137&lt;0.95,"B - next 15%","C - tail")))</f>
        <v>B - next 15%</v>
      </c>
      <c r="M137" s="16" t="n">
        <v>1257567.41071429</v>
      </c>
      <c r="N137" s="16" t="n">
        <v>1271546.99107143</v>
      </c>
      <c r="O137" s="17" t="n">
        <f aca="false">N137-M137</f>
        <v>13979.5803571441</v>
      </c>
      <c r="P137" s="14" t="n">
        <f aca="false">IF(M137&lt;1000,"new",R137)</f>
        <v>0.0111163665963672</v>
      </c>
      <c r="Q137" s="4" t="str">
        <f aca="false">IF(LEFT(L137,1)="A",IF(R137&lt;-0.05,"2 FIX","1 PROTECT"),IF(AND(N137&gt;=300000,OR(P137="new",R137&gt;=0.25),LEFT(L137,1)&lt;&gt;"-"),"3 SCALE","4 MAINTAIN"))</f>
        <v>4 MAINTAIN</v>
      </c>
      <c r="R137" s="14" t="n">
        <f aca="false">IF(M137&lt;1000,0,N137/M137-1)</f>
        <v>0.0111163665963672</v>
      </c>
    </row>
    <row r="138" customFormat="false" ht="15" hidden="false" customHeight="false" outlineLevel="0" collapsed="false">
      <c r="A138" s="25" t="n">
        <f aca="false">ROW()-5</f>
        <v>133</v>
      </c>
      <c r="B138" s="4" t="s">
        <v>510</v>
      </c>
      <c r="C138" s="4" t="s">
        <v>511</v>
      </c>
      <c r="D138" s="4" t="s">
        <v>78</v>
      </c>
      <c r="E138" s="4" t="s">
        <v>162</v>
      </c>
      <c r="F138" s="16" t="n">
        <v>594641.071428571</v>
      </c>
      <c r="G138" s="14" t="n">
        <f aca="false">IF(SUMIFS(F$6:F$473,D$6:D$473,D138,E$6:E$473,E138)=0,0,F138/SUMIFS(F$6:F$473,D$6:D$473,D138,E$6:E$473,E138))</f>
        <v>0.0909683983604123</v>
      </c>
      <c r="H138" s="5" t="n">
        <f aca="false">SUMIFS(Pareto_Categories!$G$6:$G$84,Pareto_Categories!$B$6:$B$84,D138,Pareto_Categories!$C$6:$C$84,E138)</f>
        <v>20.4788803648929</v>
      </c>
      <c r="I138" s="28" t="n">
        <f aca="false">G138*H138</f>
        <v>1.8629309470088</v>
      </c>
      <c r="J138" s="29" t="n">
        <f aca="false">I138/$I$475</f>
        <v>0.00161033486097959</v>
      </c>
      <c r="K138" s="14" t="n">
        <f aca="false">SUM(J$6:J138)</f>
        <v>0.869463047073866</v>
      </c>
      <c r="L138" s="4" t="str">
        <f aca="false">IF(I138&lt;=0,"-",IF(K138-J138&lt;0.8,"A - top 80%",IF(K138-J138&lt;0.95,"B - next 15%","C - tail")))</f>
        <v>B - next 15%</v>
      </c>
      <c r="M138" s="16" t="n">
        <v>117228.571428571</v>
      </c>
      <c r="N138" s="16" t="n">
        <v>1329460.39285714</v>
      </c>
      <c r="O138" s="17" t="n">
        <f aca="false">N138-M138</f>
        <v>1212231.82142857</v>
      </c>
      <c r="P138" s="14" t="n">
        <f aca="false">IF(M138&lt;1000,"new",R138)</f>
        <v>10.3407540214477</v>
      </c>
      <c r="Q138" s="4" t="str">
        <f aca="false">IF(LEFT(L138,1)="A",IF(R138&lt;-0.05,"2 FIX","1 PROTECT"),IF(AND(N138&gt;=300000,OR(P138="new",R138&gt;=0.25),LEFT(L138,1)&lt;&gt;"-"),"3 SCALE","4 MAINTAIN"))</f>
        <v>3 SCALE</v>
      </c>
      <c r="R138" s="14" t="n">
        <f aca="false">IF(M138&lt;1000,0,N138/M138-1)</f>
        <v>10.3407540214477</v>
      </c>
    </row>
    <row r="139" customFormat="false" ht="15" hidden="false" customHeight="false" outlineLevel="0" collapsed="false">
      <c r="A139" s="25" t="n">
        <f aca="false">ROW()-5</f>
        <v>134</v>
      </c>
      <c r="B139" s="4" t="s">
        <v>404</v>
      </c>
      <c r="C139" s="4" t="s">
        <v>405</v>
      </c>
      <c r="D139" s="4" t="s">
        <v>83</v>
      </c>
      <c r="E139" s="4" t="s">
        <v>179</v>
      </c>
      <c r="F139" s="16" t="n">
        <v>765369.642857143</v>
      </c>
      <c r="G139" s="14" t="n">
        <f aca="false">IF(SUMIFS(F$6:F$473,D$6:D$473,D139,E$6:E$473,E139)=0,0,F139/SUMIFS(F$6:F$473,D$6:D$473,D139,E$6:E$473,E139))</f>
        <v>0.10712511601803</v>
      </c>
      <c r="H139" s="5" t="n">
        <f aca="false">SUMIFS(Pareto_Categories!$G$6:$G$84,Pareto_Categories!$B$6:$B$84,D139,Pareto_Categories!$C$6:$C$84,E139)</f>
        <v>17.1493362305561</v>
      </c>
      <c r="I139" s="28" t="n">
        <f aca="false">G139*H139</f>
        <v>1.83712463333052</v>
      </c>
      <c r="J139" s="29" t="n">
        <f aca="false">I139/$I$475</f>
        <v>0.0015880276430893</v>
      </c>
      <c r="K139" s="14" t="n">
        <f aca="false">SUM(J$6:J139)</f>
        <v>0.871051074716955</v>
      </c>
      <c r="L139" s="4" t="str">
        <f aca="false">IF(I139&lt;=0,"-",IF(K139-J139&lt;0.8,"A - top 80%",IF(K139-J139&lt;0.95,"B - next 15%","C - tail")))</f>
        <v>B - next 15%</v>
      </c>
      <c r="M139" s="16" t="n">
        <v>0</v>
      </c>
      <c r="N139" s="16" t="n">
        <v>1483978.57142857</v>
      </c>
      <c r="O139" s="17" t="n">
        <f aca="false">N139-M139</f>
        <v>1483978.57142857</v>
      </c>
      <c r="P139" s="14" t="str">
        <f aca="false">IF(M139&lt;1000,"new",R139)</f>
        <v>new</v>
      </c>
      <c r="Q139" s="4" t="str">
        <f aca="false">IF(LEFT(L139,1)="A",IF(R139&lt;-0.05,"2 FIX","1 PROTECT"),IF(AND(N139&gt;=300000,OR(P139="new",R139&gt;=0.25),LEFT(L139,1)&lt;&gt;"-"),"3 SCALE","4 MAINTAIN"))</f>
        <v>3 SCALE</v>
      </c>
      <c r="R139" s="14" t="n">
        <f aca="false">IF(M139&lt;1000,0,N139/M139-1)</f>
        <v>0</v>
      </c>
    </row>
    <row r="140" customFormat="false" ht="15" hidden="false" customHeight="false" outlineLevel="0" collapsed="false">
      <c r="A140" s="25" t="n">
        <f aca="false">ROW()-5</f>
        <v>135</v>
      </c>
      <c r="B140" s="4" t="s">
        <v>512</v>
      </c>
      <c r="C140" s="4" t="s">
        <v>513</v>
      </c>
      <c r="D140" s="4" t="s">
        <v>78</v>
      </c>
      <c r="E140" s="4" t="s">
        <v>152</v>
      </c>
      <c r="F140" s="16" t="n">
        <v>499398.214285714</v>
      </c>
      <c r="G140" s="14" t="n">
        <f aca="false">IF(SUMIFS(F$6:F$473,D$6:D$473,D140,E$6:E$473,E140)=0,0,F140/SUMIFS(F$6:F$473,D$6:D$473,D140,E$6:E$473,E140))</f>
        <v>0.0103034657727916</v>
      </c>
      <c r="H140" s="5" t="n">
        <f aca="false">SUMIFS(Pareto_Categories!$G$6:$G$84,Pareto_Categories!$B$6:$B$84,D140,Pareto_Categories!$C$6:$C$84,E140)</f>
        <v>175.162640843516</v>
      </c>
      <c r="I140" s="28" t="n">
        <f aca="false">G140*H140</f>
        <v>1.80478227460296</v>
      </c>
      <c r="J140" s="29" t="n">
        <f aca="false">I140/$I$475</f>
        <v>0.00156007060698501</v>
      </c>
      <c r="K140" s="14" t="n">
        <f aca="false">SUM(J$6:J140)</f>
        <v>0.87261114532394</v>
      </c>
      <c r="L140" s="4" t="str">
        <f aca="false">IF(I140&lt;=0,"-",IF(K140-J140&lt;0.8,"A - top 80%",IF(K140-J140&lt;0.95,"B - next 15%","C - tail")))</f>
        <v>B - next 15%</v>
      </c>
      <c r="M140" s="16" t="n">
        <v>1138653.57142857</v>
      </c>
      <c r="N140" s="16" t="n">
        <v>1117922.25892857</v>
      </c>
      <c r="O140" s="17" t="n">
        <f aca="false">N140-M140</f>
        <v>-20731.3125</v>
      </c>
      <c r="P140" s="14" t="n">
        <f aca="false">IF(M140&lt;1000,"new",R140)</f>
        <v>-0.0182068655649059</v>
      </c>
      <c r="Q140" s="4" t="str">
        <f aca="false">IF(LEFT(L140,1)="A",IF(R140&lt;-0.05,"2 FIX","1 PROTECT"),IF(AND(N140&gt;=300000,OR(P140="new",R140&gt;=0.25),LEFT(L140,1)&lt;&gt;"-"),"3 SCALE","4 MAINTAIN"))</f>
        <v>4 MAINTAIN</v>
      </c>
      <c r="R140" s="14" t="n">
        <f aca="false">IF(M140&lt;1000,0,N140/M140-1)</f>
        <v>-0.0182068655649059</v>
      </c>
    </row>
    <row r="141" customFormat="false" ht="15" hidden="false" customHeight="false" outlineLevel="0" collapsed="false">
      <c r="A141" s="25" t="n">
        <f aca="false">ROW()-5</f>
        <v>136</v>
      </c>
      <c r="B141" s="4" t="s">
        <v>514</v>
      </c>
      <c r="C141" s="4" t="s">
        <v>515</v>
      </c>
      <c r="D141" s="4" t="s">
        <v>78</v>
      </c>
      <c r="E141" s="4" t="s">
        <v>154</v>
      </c>
      <c r="F141" s="16" t="n">
        <v>558760.839285714</v>
      </c>
      <c r="G141" s="14" t="n">
        <f aca="false">IF(SUMIFS(F$6:F$473,D$6:D$473,D141,E$6:E$473,E141)=0,0,F141/SUMIFS(F$6:F$473,D$6:D$473,D141,E$6:E$473,E141))</f>
        <v>0.0148966488067525</v>
      </c>
      <c r="H141" s="5" t="n">
        <f aca="false">SUMIFS(Pareto_Categories!$G$6:$G$84,Pareto_Categories!$B$6:$B$84,D141,Pareto_Categories!$C$6:$C$84,E141)</f>
        <v>120.122971429313</v>
      </c>
      <c r="I141" s="28" t="n">
        <f aca="false">G141*H141</f>
        <v>1.78942971900604</v>
      </c>
      <c r="J141" s="29" t="n">
        <f aca="false">I141/$I$475</f>
        <v>0.00154679971494119</v>
      </c>
      <c r="K141" s="14" t="n">
        <f aca="false">SUM(J$6:J141)</f>
        <v>0.874157945038881</v>
      </c>
      <c r="L141" s="4" t="str">
        <f aca="false">IF(I141&lt;=0,"-",IF(K141-J141&lt;0.8,"A - top 80%",IF(K141-J141&lt;0.95,"B - next 15%","C - tail")))</f>
        <v>B - next 15%</v>
      </c>
      <c r="M141" s="16" t="n">
        <v>1620164.28571429</v>
      </c>
      <c r="N141" s="16" t="n">
        <v>1344155.48214286</v>
      </c>
      <c r="O141" s="17" t="n">
        <f aca="false">N141-M141</f>
        <v>-276008.803571429</v>
      </c>
      <c r="P141" s="14" t="n">
        <f aca="false">IF(M141&lt;1000,"new",R141)</f>
        <v>-0.170358528456109</v>
      </c>
      <c r="Q141" s="4" t="str">
        <f aca="false">IF(LEFT(L141,1)="A",IF(R141&lt;-0.05,"2 FIX","1 PROTECT"),IF(AND(N141&gt;=300000,OR(P141="new",R141&gt;=0.25),LEFT(L141,1)&lt;&gt;"-"),"3 SCALE","4 MAINTAIN"))</f>
        <v>4 MAINTAIN</v>
      </c>
      <c r="R141" s="14" t="n">
        <f aca="false">IF(M141&lt;1000,0,N141/M141-1)</f>
        <v>-0.170358528456109</v>
      </c>
    </row>
    <row r="142" customFormat="false" ht="15" hidden="false" customHeight="false" outlineLevel="0" collapsed="false">
      <c r="A142" s="25" t="n">
        <f aca="false">ROW()-5</f>
        <v>137</v>
      </c>
      <c r="B142" s="4" t="s">
        <v>516</v>
      </c>
      <c r="C142" s="4" t="s">
        <v>517</v>
      </c>
      <c r="D142" s="4" t="s">
        <v>78</v>
      </c>
      <c r="E142" s="4" t="s">
        <v>154</v>
      </c>
      <c r="F142" s="16" t="n">
        <v>556516.964285714</v>
      </c>
      <c r="G142" s="14" t="n">
        <f aca="false">IF(SUMIFS(F$6:F$473,D$6:D$473,D142,E$6:E$473,E142)=0,0,F142/SUMIFS(F$6:F$473,D$6:D$473,D142,E$6:E$473,E142))</f>
        <v>0.0148368267585861</v>
      </c>
      <c r="H142" s="5" t="n">
        <f aca="false">SUMIFS(Pareto_Categories!$G$6:$G$84,Pareto_Categories!$B$6:$B$84,D142,Pareto_Categories!$C$6:$C$84,E142)</f>
        <v>120.122971429313</v>
      </c>
      <c r="I142" s="28" t="n">
        <f aca="false">G142*H142</f>
        <v>1.7822437168233</v>
      </c>
      <c r="J142" s="29" t="n">
        <f aca="false">I142/$I$475</f>
        <v>0.00154058806772769</v>
      </c>
      <c r="K142" s="14" t="n">
        <f aca="false">SUM(J$6:J142)</f>
        <v>0.875698533106609</v>
      </c>
      <c r="L142" s="4" t="str">
        <f aca="false">IF(I142&lt;=0,"-",IF(K142-J142&lt;0.8,"A - top 80%",IF(K142-J142&lt;0.95,"B - next 15%","C - tail")))</f>
        <v>B - next 15%</v>
      </c>
      <c r="M142" s="16" t="n">
        <v>876978.25</v>
      </c>
      <c r="N142" s="16" t="n">
        <v>1099922.32142857</v>
      </c>
      <c r="O142" s="17" t="n">
        <f aca="false">N142-M142</f>
        <v>222944.071428571</v>
      </c>
      <c r="P142" s="14" t="n">
        <f aca="false">IF(M142&lt;1000,"new",R142)</f>
        <v>0.25421847283963</v>
      </c>
      <c r="Q142" s="4" t="str">
        <f aca="false">IF(LEFT(L142,1)="A",IF(R142&lt;-0.05,"2 FIX","1 PROTECT"),IF(AND(N142&gt;=300000,OR(P142="new",R142&gt;=0.25),LEFT(L142,1)&lt;&gt;"-"),"3 SCALE","4 MAINTAIN"))</f>
        <v>3 SCALE</v>
      </c>
      <c r="R142" s="14" t="n">
        <f aca="false">IF(M142&lt;1000,0,N142/M142-1)</f>
        <v>0.25421847283963</v>
      </c>
    </row>
    <row r="143" customFormat="false" ht="15" hidden="false" customHeight="false" outlineLevel="0" collapsed="false">
      <c r="A143" s="25" t="n">
        <f aca="false">ROW()-5</f>
        <v>138</v>
      </c>
      <c r="B143" s="4" t="s">
        <v>518</v>
      </c>
      <c r="C143" s="4" t="s">
        <v>519</v>
      </c>
      <c r="D143" s="4" t="s">
        <v>78</v>
      </c>
      <c r="E143" s="4" t="s">
        <v>164</v>
      </c>
      <c r="F143" s="16" t="n">
        <v>447311.8125</v>
      </c>
      <c r="G143" s="14" t="n">
        <f aca="false">IF(SUMIFS(F$6:F$473,D$6:D$473,D143,E$6:E$473,E143)=0,0,F143/SUMIFS(F$6:F$473,D$6:D$473,D143,E$6:E$473,E143))</f>
        <v>0.120942103620729</v>
      </c>
      <c r="H143" s="5" t="n">
        <f aca="false">SUMIFS(Pareto_Categories!$G$6:$G$84,Pareto_Categories!$B$6:$B$84,D143,Pareto_Categories!$C$6:$C$84,E143)</f>
        <v>14.7308286998894</v>
      </c>
      <c r="I143" s="28" t="n">
        <f aca="false">G143*H143</f>
        <v>1.78157741104124</v>
      </c>
      <c r="J143" s="29" t="n">
        <f aca="false">I143/$I$475</f>
        <v>0.00154001210680404</v>
      </c>
      <c r="K143" s="14" t="n">
        <f aca="false">SUM(J$6:J143)</f>
        <v>0.877238545213413</v>
      </c>
      <c r="L143" s="4" t="str">
        <f aca="false">IF(I143&lt;=0,"-",IF(K143-J143&lt;0.8,"A - top 80%",IF(K143-J143&lt;0.95,"B - next 15%","C - tail")))</f>
        <v>B - next 15%</v>
      </c>
      <c r="M143" s="16" t="n">
        <v>0</v>
      </c>
      <c r="N143" s="16" t="n">
        <v>1043199.9375</v>
      </c>
      <c r="O143" s="17" t="n">
        <f aca="false">N143-M143</f>
        <v>1043199.9375</v>
      </c>
      <c r="P143" s="14" t="str">
        <f aca="false">IF(M143&lt;1000,"new",R143)</f>
        <v>new</v>
      </c>
      <c r="Q143" s="4" t="str">
        <f aca="false">IF(LEFT(L143,1)="A",IF(R143&lt;-0.05,"2 FIX","1 PROTECT"),IF(AND(N143&gt;=300000,OR(P143="new",R143&gt;=0.25),LEFT(L143,1)&lt;&gt;"-"),"3 SCALE","4 MAINTAIN"))</f>
        <v>3 SCALE</v>
      </c>
      <c r="R143" s="14" t="n">
        <f aca="false">IF(M143&lt;1000,0,N143/M143-1)</f>
        <v>0</v>
      </c>
    </row>
    <row r="144" customFormat="false" ht="15" hidden="false" customHeight="false" outlineLevel="0" collapsed="false">
      <c r="A144" s="25" t="n">
        <f aca="false">ROW()-5</f>
        <v>139</v>
      </c>
      <c r="B144" s="4" t="s">
        <v>520</v>
      </c>
      <c r="C144" s="4" t="s">
        <v>521</v>
      </c>
      <c r="D144" s="4" t="s">
        <v>78</v>
      </c>
      <c r="E144" s="4" t="s">
        <v>166</v>
      </c>
      <c r="F144" s="16" t="n">
        <v>444711.607142857</v>
      </c>
      <c r="G144" s="14" t="n">
        <f aca="false">IF(SUMIFS(F$6:F$473,D$6:D$473,D144,E$6:E$473,E144)=0,0,F144/SUMIFS(F$6:F$473,D$6:D$473,D144,E$6:E$473,E144))</f>
        <v>0.131030813846157</v>
      </c>
      <c r="H144" s="5" t="n">
        <f aca="false">SUMIFS(Pareto_Categories!$G$6:$G$84,Pareto_Categories!$B$6:$B$84,D144,Pareto_Categories!$C$6:$C$84,E144)</f>
        <v>13.503490691206</v>
      </c>
      <c r="I144" s="28" t="n">
        <f aca="false">G144*H144</f>
        <v>1.76937337503273</v>
      </c>
      <c r="J144" s="29" t="n">
        <f aca="false">I144/$I$475</f>
        <v>0.00152946282441614</v>
      </c>
      <c r="K144" s="14" t="n">
        <f aca="false">SUM(J$6:J144)</f>
        <v>0.878768008037829</v>
      </c>
      <c r="L144" s="4" t="str">
        <f aca="false">IF(I144&lt;=0,"-",IF(K144-J144&lt;0.8,"A - top 80%",IF(K144-J144&lt;0.95,"B - next 15%","C - tail")))</f>
        <v>B - next 15%</v>
      </c>
      <c r="M144" s="16" t="n">
        <v>969582.142857143</v>
      </c>
      <c r="N144" s="16" t="n">
        <v>877595.535714286</v>
      </c>
      <c r="O144" s="17" t="n">
        <f aca="false">N144-M144</f>
        <v>-91986.607142857</v>
      </c>
      <c r="P144" s="14" t="n">
        <f aca="false">IF(M144&lt;1000,"new",R144)</f>
        <v>-0.0948724229509765</v>
      </c>
      <c r="Q144" s="4" t="str">
        <f aca="false">IF(LEFT(L144,1)="A",IF(R144&lt;-0.05,"2 FIX","1 PROTECT"),IF(AND(N144&gt;=300000,OR(P144="new",R144&gt;=0.25),LEFT(L144,1)&lt;&gt;"-"),"3 SCALE","4 MAINTAIN"))</f>
        <v>4 MAINTAIN</v>
      </c>
      <c r="R144" s="14" t="n">
        <f aca="false">IF(M144&lt;1000,0,N144/M144-1)</f>
        <v>-0.0948724229509765</v>
      </c>
    </row>
    <row r="145" customFormat="false" ht="15" hidden="false" customHeight="false" outlineLevel="0" collapsed="false">
      <c r="A145" s="25" t="n">
        <f aca="false">ROW()-5</f>
        <v>140</v>
      </c>
      <c r="B145" s="4" t="s">
        <v>522</v>
      </c>
      <c r="C145" s="4" t="s">
        <v>523</v>
      </c>
      <c r="D145" s="4" t="s">
        <v>78</v>
      </c>
      <c r="E145" s="4" t="s">
        <v>164</v>
      </c>
      <c r="F145" s="16" t="n">
        <v>442963.392857143</v>
      </c>
      <c r="G145" s="14" t="n">
        <f aca="false">IF(SUMIFS(F$6:F$473,D$6:D$473,D145,E$6:E$473,E145)=0,0,F145/SUMIFS(F$6:F$473,D$6:D$473,D145,E$6:E$473,E145))</f>
        <v>0.119766397984668</v>
      </c>
      <c r="H145" s="5" t="n">
        <f aca="false">SUMIFS(Pareto_Categories!$G$6:$G$84,Pareto_Categories!$B$6:$B$84,D145,Pareto_Categories!$C$6:$C$84,E145)</f>
        <v>14.7308286998894</v>
      </c>
      <c r="I145" s="28" t="n">
        <f aca="false">G145*H145</f>
        <v>1.76425829271493</v>
      </c>
      <c r="J145" s="29" t="n">
        <f aca="false">I145/$I$475</f>
        <v>0.00152504129962138</v>
      </c>
      <c r="K145" s="14" t="n">
        <f aca="false">SUM(J$6:J145)</f>
        <v>0.880293049337451</v>
      </c>
      <c r="L145" s="4" t="str">
        <f aca="false">IF(I145&lt;=0,"-",IF(K145-J145&lt;0.8,"A - top 80%",IF(K145-J145&lt;0.95,"B - next 15%","C - tail")))</f>
        <v>B - next 15%</v>
      </c>
      <c r="M145" s="16" t="n">
        <v>1205189.22321429</v>
      </c>
      <c r="N145" s="16" t="n">
        <v>993215.178571429</v>
      </c>
      <c r="O145" s="17" t="n">
        <f aca="false">N145-M145</f>
        <v>-211974.044642856</v>
      </c>
      <c r="P145" s="14" t="n">
        <f aca="false">IF(M145&lt;1000,"new",R145)</f>
        <v>-0.175884450806417</v>
      </c>
      <c r="Q145" s="4" t="str">
        <f aca="false">IF(LEFT(L145,1)="A",IF(R145&lt;-0.05,"2 FIX","1 PROTECT"),IF(AND(N145&gt;=300000,OR(P145="new",R145&gt;=0.25),LEFT(L145,1)&lt;&gt;"-"),"3 SCALE","4 MAINTAIN"))</f>
        <v>4 MAINTAIN</v>
      </c>
      <c r="R145" s="14" t="n">
        <f aca="false">IF(M145&lt;1000,0,N145/M145-1)</f>
        <v>-0.175884450806417</v>
      </c>
    </row>
    <row r="146" customFormat="false" ht="15" hidden="false" customHeight="false" outlineLevel="0" collapsed="false">
      <c r="A146" s="25" t="n">
        <f aca="false">ROW()-5</f>
        <v>141</v>
      </c>
      <c r="B146" s="4" t="s">
        <v>524</v>
      </c>
      <c r="C146" s="4" t="s">
        <v>525</v>
      </c>
      <c r="D146" s="4" t="s">
        <v>78</v>
      </c>
      <c r="E146" s="4" t="s">
        <v>162</v>
      </c>
      <c r="F146" s="16" t="n">
        <v>547610.714285714</v>
      </c>
      <c r="G146" s="14" t="n">
        <f aca="false">IF(SUMIFS(F$6:F$473,D$6:D$473,D146,E$6:E$473,E146)=0,0,F146/SUMIFS(F$6:F$473,D$6:D$473,D146,E$6:E$473,E146))</f>
        <v>0.0837736779329691</v>
      </c>
      <c r="H146" s="5" t="n">
        <f aca="false">SUMIFS(Pareto_Categories!$G$6:$G$84,Pareto_Categories!$B$6:$B$84,D146,Pareto_Categories!$C$6:$C$84,E146)</f>
        <v>20.4788803648929</v>
      </c>
      <c r="I146" s="28" t="n">
        <f aca="false">G146*H146</f>
        <v>1.71559112811634</v>
      </c>
      <c r="J146" s="29" t="n">
        <f aca="false">I146/$I$475</f>
        <v>0.0014829729492813</v>
      </c>
      <c r="K146" s="14" t="n">
        <f aca="false">SUM(J$6:J146)</f>
        <v>0.881776022286732</v>
      </c>
      <c r="L146" s="4" t="str">
        <f aca="false">IF(I146&lt;=0,"-",IF(K146-J146&lt;0.8,"A - top 80%",IF(K146-J146&lt;0.95,"B - next 15%","C - tail")))</f>
        <v>B - next 15%</v>
      </c>
      <c r="M146" s="16" t="n">
        <v>78633.0357142857</v>
      </c>
      <c r="N146" s="16" t="n">
        <v>1244440.27678571</v>
      </c>
      <c r="O146" s="17" t="n">
        <f aca="false">N146-M146</f>
        <v>1165807.24107143</v>
      </c>
      <c r="P146" s="14" t="n">
        <f aca="false">IF(M146&lt;1000,"new",R146)</f>
        <v>14.8259218340165</v>
      </c>
      <c r="Q146" s="4" t="str">
        <f aca="false">IF(LEFT(L146,1)="A",IF(R146&lt;-0.05,"2 FIX","1 PROTECT"),IF(AND(N146&gt;=300000,OR(P146="new",R146&gt;=0.25),LEFT(L146,1)&lt;&gt;"-"),"3 SCALE","4 MAINTAIN"))</f>
        <v>3 SCALE</v>
      </c>
      <c r="R146" s="14" t="n">
        <f aca="false">IF(M146&lt;1000,0,N146/M146-1)</f>
        <v>14.8259218340165</v>
      </c>
    </row>
    <row r="147" customFormat="false" ht="15" hidden="false" customHeight="false" outlineLevel="0" collapsed="false">
      <c r="A147" s="25" t="n">
        <f aca="false">ROW()-5</f>
        <v>142</v>
      </c>
      <c r="B147" s="4" t="s">
        <v>526</v>
      </c>
      <c r="C147" s="4" t="s">
        <v>527</v>
      </c>
      <c r="D147" s="4" t="s">
        <v>78</v>
      </c>
      <c r="E147" s="4" t="s">
        <v>153</v>
      </c>
      <c r="F147" s="16" t="n">
        <v>378866.964285714</v>
      </c>
      <c r="G147" s="14" t="n">
        <f aca="false">IF(SUMIFS(F$6:F$473,D$6:D$473,D147,E$6:E$473,E147)=0,0,F147/SUMIFS(F$6:F$473,D$6:D$473,D147,E$6:E$473,E147))</f>
        <v>0.011221082713185</v>
      </c>
      <c r="H147" s="5" t="n">
        <f aca="false">SUMIFS(Pareto_Categories!$G$6:$G$84,Pareto_Categories!$B$6:$B$84,D147,Pareto_Categories!$C$6:$C$84,E147)</f>
        <v>152.006736079647</v>
      </c>
      <c r="I147" s="28" t="n">
        <f aca="false">G147*H147</f>
        <v>1.705680158511</v>
      </c>
      <c r="J147" s="29" t="n">
        <f aca="false">I147/$I$475</f>
        <v>0.00147440581484875</v>
      </c>
      <c r="K147" s="14" t="n">
        <f aca="false">SUM(J$6:J147)</f>
        <v>0.88325042810158</v>
      </c>
      <c r="L147" s="4" t="str">
        <f aca="false">IF(I147&lt;=0,"-",IF(K147-J147&lt;0.8,"A - top 80%",IF(K147-J147&lt;0.95,"B - next 15%","C - tail")))</f>
        <v>B - next 15%</v>
      </c>
      <c r="M147" s="16" t="n">
        <v>0</v>
      </c>
      <c r="N147" s="16" t="n">
        <v>378866.964285714</v>
      </c>
      <c r="O147" s="17" t="n">
        <f aca="false">N147-M147</f>
        <v>378866.964285714</v>
      </c>
      <c r="P147" s="14" t="str">
        <f aca="false">IF(M147&lt;1000,"new",R147)</f>
        <v>new</v>
      </c>
      <c r="Q147" s="4" t="str">
        <f aca="false">IF(LEFT(L147,1)="A",IF(R147&lt;-0.05,"2 FIX","1 PROTECT"),IF(AND(N147&gt;=300000,OR(P147="new",R147&gt;=0.25),LEFT(L147,1)&lt;&gt;"-"),"3 SCALE","4 MAINTAIN"))</f>
        <v>3 SCALE</v>
      </c>
      <c r="R147" s="14" t="n">
        <f aca="false">IF(M147&lt;1000,0,N147/M147-1)</f>
        <v>0</v>
      </c>
    </row>
    <row r="148" customFormat="false" ht="15" hidden="false" customHeight="false" outlineLevel="0" collapsed="false">
      <c r="A148" s="25" t="n">
        <f aca="false">ROW()-5</f>
        <v>143</v>
      </c>
      <c r="B148" s="4" t="s">
        <v>528</v>
      </c>
      <c r="C148" s="4" t="s">
        <v>529</v>
      </c>
      <c r="D148" s="4" t="s">
        <v>78</v>
      </c>
      <c r="E148" s="4" t="s">
        <v>153</v>
      </c>
      <c r="F148" s="16" t="n">
        <v>378680.357142857</v>
      </c>
      <c r="G148" s="14" t="n">
        <f aca="false">IF(SUMIFS(F$6:F$473,D$6:D$473,D148,E$6:E$473,E148)=0,0,F148/SUMIFS(F$6:F$473,D$6:D$473,D148,E$6:E$473,E148))</f>
        <v>0.0112155558808606</v>
      </c>
      <c r="H148" s="5" t="n">
        <f aca="false">SUMIFS(Pareto_Categories!$G$6:$G$84,Pareto_Categories!$B$6:$B$84,D148,Pareto_Categories!$C$6:$C$84,E148)</f>
        <v>152.006736079647</v>
      </c>
      <c r="I148" s="28" t="n">
        <f aca="false">G148*H148</f>
        <v>1.70484004276851</v>
      </c>
      <c r="J148" s="29" t="n">
        <f aca="false">I148/$I$475</f>
        <v>0.00147367961097653</v>
      </c>
      <c r="K148" s="14" t="n">
        <f aca="false">SUM(J$6:J148)</f>
        <v>0.884724107712557</v>
      </c>
      <c r="L148" s="4" t="str">
        <f aca="false">IF(I148&lt;=0,"-",IF(K148-J148&lt;0.8,"A - top 80%",IF(K148-J148&lt;0.95,"B - next 15%","C - tail")))</f>
        <v>B - next 15%</v>
      </c>
      <c r="M148" s="16" t="n">
        <v>801006.026785714</v>
      </c>
      <c r="N148" s="16" t="n">
        <v>796837.5</v>
      </c>
      <c r="O148" s="17" t="n">
        <f aca="false">N148-M148</f>
        <v>-4168.5267857142</v>
      </c>
      <c r="P148" s="14" t="n">
        <f aca="false">IF(M148&lt;1000,"new",R148)</f>
        <v>-0.00520411413437394</v>
      </c>
      <c r="Q148" s="4" t="str">
        <f aca="false">IF(LEFT(L148,1)="A",IF(R148&lt;-0.05,"2 FIX","1 PROTECT"),IF(AND(N148&gt;=300000,OR(P148="new",R148&gt;=0.25),LEFT(L148,1)&lt;&gt;"-"),"3 SCALE","4 MAINTAIN"))</f>
        <v>4 MAINTAIN</v>
      </c>
      <c r="R148" s="14" t="n">
        <f aca="false">IF(M148&lt;1000,0,N148/M148-1)</f>
        <v>-0.00520411413437394</v>
      </c>
    </row>
    <row r="149" customFormat="false" ht="15" hidden="false" customHeight="false" outlineLevel="0" collapsed="false">
      <c r="A149" s="25" t="n">
        <f aca="false">ROW()-5</f>
        <v>144</v>
      </c>
      <c r="B149" s="4" t="s">
        <v>348</v>
      </c>
      <c r="C149" s="4" t="s">
        <v>349</v>
      </c>
      <c r="D149" s="4" t="s">
        <v>83</v>
      </c>
      <c r="E149" s="4" t="s">
        <v>179</v>
      </c>
      <c r="F149" s="16" t="n">
        <v>702133.928571429</v>
      </c>
      <c r="G149" s="14" t="n">
        <f aca="false">IF(SUMIFS(F$6:F$473,D$6:D$473,D149,E$6:E$473,E149)=0,0,F149/SUMIFS(F$6:F$473,D$6:D$473,D149,E$6:E$473,E149))</f>
        <v>0.0982743165480482</v>
      </c>
      <c r="H149" s="5" t="n">
        <f aca="false">SUMIFS(Pareto_Categories!$G$6:$G$84,Pareto_Categories!$B$6:$B$84,D149,Pareto_Categories!$C$6:$C$84,E149)</f>
        <v>17.1493362305561</v>
      </c>
      <c r="I149" s="28" t="n">
        <f aca="false">G149*H149</f>
        <v>1.68533929731058</v>
      </c>
      <c r="J149" s="29" t="n">
        <f aca="false">I149/$I$475</f>
        <v>0.00145682298498274</v>
      </c>
      <c r="K149" s="14" t="n">
        <f aca="false">SUM(J$6:J149)</f>
        <v>0.88618093069754</v>
      </c>
      <c r="L149" s="4" t="str">
        <f aca="false">IF(I149&lt;=0,"-",IF(K149-J149&lt;0.8,"A - top 80%",IF(K149-J149&lt;0.95,"B - next 15%","C - tail")))</f>
        <v>B - next 15%</v>
      </c>
      <c r="M149" s="16" t="n">
        <v>1663356.25</v>
      </c>
      <c r="N149" s="16" t="n">
        <v>1494283.03571429</v>
      </c>
      <c r="O149" s="17" t="n">
        <f aca="false">N149-M149</f>
        <v>-169073.214285715</v>
      </c>
      <c r="P149" s="14" t="n">
        <f aca="false">IF(M149&lt;1000,"new",R149)</f>
        <v>-0.101645822586542</v>
      </c>
      <c r="Q149" s="4" t="str">
        <f aca="false">IF(LEFT(L149,1)="A",IF(R149&lt;-0.05,"2 FIX","1 PROTECT"),IF(AND(N149&gt;=300000,OR(P149="new",R149&gt;=0.25),LEFT(L149,1)&lt;&gt;"-"),"3 SCALE","4 MAINTAIN"))</f>
        <v>4 MAINTAIN</v>
      </c>
      <c r="R149" s="14" t="n">
        <f aca="false">IF(M149&lt;1000,0,N149/M149-1)</f>
        <v>-0.101645822586542</v>
      </c>
    </row>
    <row r="150" customFormat="false" ht="15" hidden="false" customHeight="false" outlineLevel="0" collapsed="false">
      <c r="A150" s="25" t="n">
        <f aca="false">ROW()-5</f>
        <v>145</v>
      </c>
      <c r="B150" s="4" t="s">
        <v>530</v>
      </c>
      <c r="C150" s="4" t="s">
        <v>531</v>
      </c>
      <c r="D150" s="4" t="s">
        <v>78</v>
      </c>
      <c r="E150" s="4" t="s">
        <v>157</v>
      </c>
      <c r="F150" s="16" t="n">
        <v>551182.142857143</v>
      </c>
      <c r="G150" s="14" t="n">
        <f aca="false">IF(SUMIFS(F$6:F$473,D$6:D$473,D150,E$6:E$473,E150)=0,0,F150/SUMIFS(F$6:F$473,D$6:D$473,D150,E$6:E$473,E150))</f>
        <v>0.0426906599253057</v>
      </c>
      <c r="H150" s="5" t="n">
        <f aca="false">SUMIFS(Pareto_Categories!$G$6:$G$84,Pareto_Categories!$B$6:$B$84,D150,Pareto_Categories!$C$6:$C$84,E150)</f>
        <v>38.9811115222903</v>
      </c>
      <c r="I150" s="28" t="n">
        <f aca="false">G150*H150</f>
        <v>1.66412937550851</v>
      </c>
      <c r="J150" s="29" t="n">
        <f aca="false">I150/$I$475</f>
        <v>0.00143848893103867</v>
      </c>
      <c r="K150" s="14" t="n">
        <f aca="false">SUM(J$6:J150)</f>
        <v>0.887619419628579</v>
      </c>
      <c r="L150" s="4" t="str">
        <f aca="false">IF(I150&lt;=0,"-",IF(K150-J150&lt;0.8,"A - top 80%",IF(K150-J150&lt;0.95,"B - next 15%","C - tail")))</f>
        <v>B - next 15%</v>
      </c>
      <c r="M150" s="16" t="n">
        <v>1141066.07142857</v>
      </c>
      <c r="N150" s="16" t="n">
        <v>1108572.07142857</v>
      </c>
      <c r="O150" s="17" t="n">
        <f aca="false">N150-M150</f>
        <v>-32494</v>
      </c>
      <c r="P150" s="14" t="n">
        <f aca="false">IF(M150&lt;1000,"new",R150)</f>
        <v>-0.0284768786081938</v>
      </c>
      <c r="Q150" s="4" t="str">
        <f aca="false">IF(LEFT(L150,1)="A",IF(R150&lt;-0.05,"2 FIX","1 PROTECT"),IF(AND(N150&gt;=300000,OR(P150="new",R150&gt;=0.25),LEFT(L150,1)&lt;&gt;"-"),"3 SCALE","4 MAINTAIN"))</f>
        <v>4 MAINTAIN</v>
      </c>
      <c r="R150" s="14" t="n">
        <f aca="false">IF(M150&lt;1000,0,N150/M150-1)</f>
        <v>-0.0284768786081938</v>
      </c>
    </row>
    <row r="151" customFormat="false" ht="15" hidden="false" customHeight="false" outlineLevel="0" collapsed="false">
      <c r="A151" s="25" t="n">
        <f aca="false">ROW()-5</f>
        <v>146</v>
      </c>
      <c r="B151" s="4" t="s">
        <v>532</v>
      </c>
      <c r="C151" s="4" t="s">
        <v>533</v>
      </c>
      <c r="D151" s="4" t="s">
        <v>78</v>
      </c>
      <c r="E151" s="4" t="s">
        <v>162</v>
      </c>
      <c r="F151" s="16" t="n">
        <v>523119.642857143</v>
      </c>
      <c r="G151" s="14" t="n">
        <f aca="false">IF(SUMIFS(F$6:F$473,D$6:D$473,D151,E$6:E$473,E151)=0,0,F151/SUMIFS(F$6:F$473,D$6:D$473,D151,E$6:E$473,E151))</f>
        <v>0.0800270252898288</v>
      </c>
      <c r="H151" s="5" t="n">
        <f aca="false">SUMIFS(Pareto_Categories!$G$6:$G$84,Pareto_Categories!$B$6:$B$84,D151,Pareto_Categories!$C$6:$C$84,E151)</f>
        <v>20.4788803648929</v>
      </c>
      <c r="I151" s="28" t="n">
        <f aca="false">G151*H151</f>
        <v>1.63886387686866</v>
      </c>
      <c r="J151" s="29" t="n">
        <f aca="false">I151/$I$475</f>
        <v>0.00141664919870447</v>
      </c>
      <c r="K151" s="14" t="n">
        <f aca="false">SUM(J$6:J151)</f>
        <v>0.889036068827283</v>
      </c>
      <c r="L151" s="4" t="str">
        <f aca="false">IF(I151&lt;=0,"-",IF(K151-J151&lt;0.8,"A - top 80%",IF(K151-J151&lt;0.95,"B - next 15%","C - tail")))</f>
        <v>B - next 15%</v>
      </c>
      <c r="M151" s="16" t="n">
        <v>125313.392857143</v>
      </c>
      <c r="N151" s="16" t="n">
        <v>1287409.82142857</v>
      </c>
      <c r="O151" s="17" t="n">
        <f aca="false">N151-M151</f>
        <v>1162096.42857143</v>
      </c>
      <c r="P151" s="14" t="n">
        <f aca="false">IF(M151&lt;1000,"new",R151)</f>
        <v>9.27352138566879</v>
      </c>
      <c r="Q151" s="4" t="str">
        <f aca="false">IF(LEFT(L151,1)="A",IF(R151&lt;-0.05,"2 FIX","1 PROTECT"),IF(AND(N151&gt;=300000,OR(P151="new",R151&gt;=0.25),LEFT(L151,1)&lt;&gt;"-"),"3 SCALE","4 MAINTAIN"))</f>
        <v>3 SCALE</v>
      </c>
      <c r="R151" s="14" t="n">
        <f aca="false">IF(M151&lt;1000,0,N151/M151-1)</f>
        <v>9.27352138566879</v>
      </c>
    </row>
    <row r="152" customFormat="false" ht="15" hidden="false" customHeight="false" outlineLevel="0" collapsed="false">
      <c r="A152" s="25" t="n">
        <f aca="false">ROW()-5</f>
        <v>147</v>
      </c>
      <c r="B152" s="4" t="s">
        <v>534</v>
      </c>
      <c r="C152" s="4" t="s">
        <v>535</v>
      </c>
      <c r="D152" s="4" t="s">
        <v>78</v>
      </c>
      <c r="E152" s="4" t="s">
        <v>153</v>
      </c>
      <c r="F152" s="16" t="n">
        <v>361699.107142857</v>
      </c>
      <c r="G152" s="14" t="n">
        <f aca="false">IF(SUMIFS(F$6:F$473,D$6:D$473,D152,E$6:E$473,E152)=0,0,F152/SUMIFS(F$6:F$473,D$6:D$473,D152,E$6:E$473,E152))</f>
        <v>0.0107126141393379</v>
      </c>
      <c r="H152" s="5" t="n">
        <f aca="false">SUMIFS(Pareto_Categories!$G$6:$G$84,Pareto_Categories!$B$6:$B$84,D152,Pareto_Categories!$C$6:$C$84,E152)</f>
        <v>152.006736079647</v>
      </c>
      <c r="I152" s="28" t="n">
        <f aca="false">G152*H152</f>
        <v>1.62838951020143</v>
      </c>
      <c r="J152" s="29" t="n">
        <f aca="false">I152/$I$475</f>
        <v>0.00140759505860442</v>
      </c>
      <c r="K152" s="14" t="n">
        <f aca="false">SUM(J$6:J152)</f>
        <v>0.890443663885887</v>
      </c>
      <c r="L152" s="4" t="str">
        <f aca="false">IF(I152&lt;=0,"-",IF(K152-J152&lt;0.8,"A - top 80%",IF(K152-J152&lt;0.95,"B - next 15%","C - tail")))</f>
        <v>B - next 15%</v>
      </c>
      <c r="M152" s="16" t="n">
        <v>628042.857142857</v>
      </c>
      <c r="N152" s="16" t="n">
        <v>735863.392857143</v>
      </c>
      <c r="O152" s="17" t="n">
        <f aca="false">N152-M152</f>
        <v>107820.535714286</v>
      </c>
      <c r="P152" s="14" t="n">
        <f aca="false">IF(M152&lt;1000,"new",R152)</f>
        <v>0.171677035234174</v>
      </c>
      <c r="Q152" s="4" t="str">
        <f aca="false">IF(LEFT(L152,1)="A",IF(R152&lt;-0.05,"2 FIX","1 PROTECT"),IF(AND(N152&gt;=300000,OR(P152="new",R152&gt;=0.25),LEFT(L152,1)&lt;&gt;"-"),"3 SCALE","4 MAINTAIN"))</f>
        <v>4 MAINTAIN</v>
      </c>
      <c r="R152" s="14" t="n">
        <f aca="false">IF(M152&lt;1000,0,N152/M152-1)</f>
        <v>0.171677035234174</v>
      </c>
    </row>
    <row r="153" customFormat="false" ht="15" hidden="false" customHeight="false" outlineLevel="0" collapsed="false">
      <c r="A153" s="25" t="n">
        <f aca="false">ROW()-5</f>
        <v>148</v>
      </c>
      <c r="B153" s="4" t="s">
        <v>536</v>
      </c>
      <c r="C153" s="4" t="s">
        <v>537</v>
      </c>
      <c r="D153" s="4" t="s">
        <v>78</v>
      </c>
      <c r="E153" s="4" t="s">
        <v>154</v>
      </c>
      <c r="F153" s="16" t="n">
        <v>506717.857142857</v>
      </c>
      <c r="G153" s="14" t="n">
        <f aca="false">IF(SUMIFS(F$6:F$473,D$6:D$473,D153,E$6:E$473,E153)=0,0,F153/SUMIFS(F$6:F$473,D$6:D$473,D153,E$6:E$473,E153))</f>
        <v>0.0135091750016281</v>
      </c>
      <c r="H153" s="5" t="n">
        <f aca="false">SUMIFS(Pareto_Categories!$G$6:$G$84,Pareto_Categories!$B$6:$B$84,D153,Pareto_Categories!$C$6:$C$84,E153)</f>
        <v>120.122971429313</v>
      </c>
      <c r="I153" s="28" t="n">
        <f aca="false">G153*H153</f>
        <v>1.62276224275416</v>
      </c>
      <c r="J153" s="29" t="n">
        <f aca="false">I153/$I$475</f>
        <v>0.00140273079621352</v>
      </c>
      <c r="K153" s="14" t="n">
        <f aca="false">SUM(J$6:J153)</f>
        <v>0.891846394682101</v>
      </c>
      <c r="L153" s="4" t="str">
        <f aca="false">IF(I153&lt;=0,"-",IF(K153-J153&lt;0.8,"A - top 80%",IF(K153-J153&lt;0.95,"B - next 15%","C - tail")))</f>
        <v>B - next 15%</v>
      </c>
      <c r="M153" s="16" t="n">
        <v>1129910.45535714</v>
      </c>
      <c r="N153" s="16" t="n">
        <v>1230516.96428571</v>
      </c>
      <c r="O153" s="17" t="n">
        <f aca="false">N153-M153</f>
        <v>100606.508928571</v>
      </c>
      <c r="P153" s="14" t="n">
        <f aca="false">IF(M153&lt;1000,"new",R153)</f>
        <v>0.089039364536875</v>
      </c>
      <c r="Q153" s="4" t="str">
        <f aca="false">IF(LEFT(L153,1)="A",IF(R153&lt;-0.05,"2 FIX","1 PROTECT"),IF(AND(N153&gt;=300000,OR(P153="new",R153&gt;=0.25),LEFT(L153,1)&lt;&gt;"-"),"3 SCALE","4 MAINTAIN"))</f>
        <v>4 MAINTAIN</v>
      </c>
      <c r="R153" s="14" t="n">
        <f aca="false">IF(M153&lt;1000,0,N153/M153-1)</f>
        <v>0.089039364536875</v>
      </c>
    </row>
    <row r="154" customFormat="false" ht="15" hidden="false" customHeight="false" outlineLevel="0" collapsed="false">
      <c r="A154" s="25" t="n">
        <f aca="false">ROW()-5</f>
        <v>149</v>
      </c>
      <c r="B154" s="4" t="s">
        <v>538</v>
      </c>
      <c r="C154" s="4" t="s">
        <v>539</v>
      </c>
      <c r="D154" s="4" t="s">
        <v>78</v>
      </c>
      <c r="E154" s="4" t="s">
        <v>164</v>
      </c>
      <c r="F154" s="16" t="n">
        <v>393070.232142857</v>
      </c>
      <c r="G154" s="14" t="n">
        <f aca="false">IF(SUMIFS(F$6:F$473,D$6:D$473,D154,E$6:E$473,E154)=0,0,F154/SUMIFS(F$6:F$473,D$6:D$473,D154,E$6:E$473,E154))</f>
        <v>0.106276515436412</v>
      </c>
      <c r="H154" s="5" t="n">
        <f aca="false">SUMIFS(Pareto_Categories!$G$6:$G$84,Pareto_Categories!$B$6:$B$84,D154,Pareto_Categories!$C$6:$C$84,E154)</f>
        <v>14.7308286998894</v>
      </c>
      <c r="I154" s="28" t="n">
        <f aca="false">G154*H154</f>
        <v>1.56554114371493</v>
      </c>
      <c r="J154" s="29" t="n">
        <f aca="false">I154/$I$475</f>
        <v>0.00135326834527598</v>
      </c>
      <c r="K154" s="14" t="n">
        <f aca="false">SUM(J$6:J154)</f>
        <v>0.893199663027377</v>
      </c>
      <c r="L154" s="4" t="str">
        <f aca="false">IF(I154&lt;=0,"-",IF(K154-J154&lt;0.8,"A - top 80%",IF(K154-J154&lt;0.95,"B - next 15%","C - tail")))</f>
        <v>B - next 15%</v>
      </c>
      <c r="M154" s="16" t="n">
        <v>841886.607142857</v>
      </c>
      <c r="N154" s="16" t="n">
        <v>858520.410714286</v>
      </c>
      <c r="O154" s="17" t="n">
        <f aca="false">N154-M154</f>
        <v>16633.8035714286</v>
      </c>
      <c r="P154" s="14" t="n">
        <f aca="false">IF(M154&lt;1000,"new",R154)</f>
        <v>0.0197577719259361</v>
      </c>
      <c r="Q154" s="4" t="str">
        <f aca="false">IF(LEFT(L154,1)="A",IF(R154&lt;-0.05,"2 FIX","1 PROTECT"),IF(AND(N154&gt;=300000,OR(P154="new",R154&gt;=0.25),LEFT(L154,1)&lt;&gt;"-"),"3 SCALE","4 MAINTAIN"))</f>
        <v>4 MAINTAIN</v>
      </c>
      <c r="R154" s="14" t="n">
        <f aca="false">IF(M154&lt;1000,0,N154/M154-1)</f>
        <v>0.0197577719259361</v>
      </c>
    </row>
    <row r="155" customFormat="false" ht="15" hidden="false" customHeight="false" outlineLevel="0" collapsed="false">
      <c r="A155" s="25" t="n">
        <f aca="false">ROW()-5</f>
        <v>150</v>
      </c>
      <c r="B155" s="4" t="s">
        <v>540</v>
      </c>
      <c r="C155" s="4" t="s">
        <v>515</v>
      </c>
      <c r="D155" s="4" t="s">
        <v>78</v>
      </c>
      <c r="E155" s="4" t="s">
        <v>154</v>
      </c>
      <c r="F155" s="16" t="n">
        <v>481002.419642857</v>
      </c>
      <c r="G155" s="14" t="n">
        <f aca="false">IF(SUMIFS(F$6:F$473,D$6:D$473,D155,E$6:E$473,E155)=0,0,F155/SUMIFS(F$6:F$473,D$6:D$473,D155,E$6:E$473,E155))</f>
        <v>0.0128235975337454</v>
      </c>
      <c r="H155" s="5" t="n">
        <f aca="false">SUMIFS(Pareto_Categories!$G$6:$G$84,Pareto_Categories!$B$6:$B$84,D155,Pareto_Categories!$C$6:$C$84,E155)</f>
        <v>120.122971429313</v>
      </c>
      <c r="I155" s="28" t="n">
        <f aca="false">G155*H155</f>
        <v>1.54040864016711</v>
      </c>
      <c r="J155" s="29" t="n">
        <f aca="false">I155/$I$475</f>
        <v>0.00133154357513798</v>
      </c>
      <c r="K155" s="14" t="n">
        <f aca="false">SUM(J$6:J155)</f>
        <v>0.894531206602515</v>
      </c>
      <c r="L155" s="4" t="str">
        <f aca="false">IF(I155&lt;=0,"-",IF(K155-J155&lt;0.8,"A - top 80%",IF(K155-J155&lt;0.95,"B - next 15%","C - tail")))</f>
        <v>B - next 15%</v>
      </c>
      <c r="M155" s="16" t="n">
        <v>487810.455357143</v>
      </c>
      <c r="N155" s="16" t="n">
        <v>1015080.09821429</v>
      </c>
      <c r="O155" s="17" t="n">
        <f aca="false">N155-M155</f>
        <v>527269.642857143</v>
      </c>
      <c r="P155" s="14" t="n">
        <f aca="false">IF(M155&lt;1000,"new",R155)</f>
        <v>1.08089040951595</v>
      </c>
      <c r="Q155" s="4" t="str">
        <f aca="false">IF(LEFT(L155,1)="A",IF(R155&lt;-0.05,"2 FIX","1 PROTECT"),IF(AND(N155&gt;=300000,OR(P155="new",R155&gt;=0.25),LEFT(L155,1)&lt;&gt;"-"),"3 SCALE","4 MAINTAIN"))</f>
        <v>3 SCALE</v>
      </c>
      <c r="R155" s="14" t="n">
        <f aca="false">IF(M155&lt;1000,0,N155/M155-1)</f>
        <v>1.08089040951595</v>
      </c>
    </row>
    <row r="156" customFormat="false" ht="15" hidden="false" customHeight="false" outlineLevel="0" collapsed="false">
      <c r="A156" s="25" t="n">
        <f aca="false">ROW()-5</f>
        <v>151</v>
      </c>
      <c r="B156" s="4" t="s">
        <v>541</v>
      </c>
      <c r="C156" s="4" t="s">
        <v>542</v>
      </c>
      <c r="D156" s="4" t="s">
        <v>78</v>
      </c>
      <c r="E156" s="4" t="s">
        <v>154</v>
      </c>
      <c r="F156" s="16" t="n">
        <v>480703.160714286</v>
      </c>
      <c r="G156" s="14" t="n">
        <f aca="false">IF(SUMIFS(F$6:F$473,D$6:D$473,D156,E$6:E$473,E156)=0,0,F156/SUMIFS(F$6:F$473,D$6:D$473,D156,E$6:E$473,E156))</f>
        <v>0.0128156192452761</v>
      </c>
      <c r="H156" s="5" t="n">
        <f aca="false">SUMIFS(Pareto_Categories!$G$6:$G$84,Pareto_Categories!$B$6:$B$84,D156,Pareto_Categories!$C$6:$C$84,E156)</f>
        <v>120.122971429313</v>
      </c>
      <c r="I156" s="28" t="n">
        <f aca="false">G156*H156</f>
        <v>1.53945026444925</v>
      </c>
      <c r="J156" s="29" t="n">
        <f aca="false">I156/$I$475</f>
        <v>0.00133071514624163</v>
      </c>
      <c r="K156" s="14" t="n">
        <f aca="false">SUM(J$6:J156)</f>
        <v>0.895861921748756</v>
      </c>
      <c r="L156" s="4" t="str">
        <f aca="false">IF(I156&lt;=0,"-",IF(K156-J156&lt;0.8,"A - top 80%",IF(K156-J156&lt;0.95,"B - next 15%","C - tail")))</f>
        <v>B - next 15%</v>
      </c>
      <c r="M156" s="16" t="n">
        <v>1154225</v>
      </c>
      <c r="N156" s="16" t="n">
        <v>878362.25</v>
      </c>
      <c r="O156" s="17" t="n">
        <f aca="false">N156-M156</f>
        <v>-275862.75</v>
      </c>
      <c r="P156" s="14" t="n">
        <f aca="false">IF(M156&lt;1000,"new",R156)</f>
        <v>-0.239002577487058</v>
      </c>
      <c r="Q156" s="4" t="str">
        <f aca="false">IF(LEFT(L156,1)="A",IF(R156&lt;-0.05,"2 FIX","1 PROTECT"),IF(AND(N156&gt;=300000,OR(P156="new",R156&gt;=0.25),LEFT(L156,1)&lt;&gt;"-"),"3 SCALE","4 MAINTAIN"))</f>
        <v>4 MAINTAIN</v>
      </c>
      <c r="R156" s="14" t="n">
        <f aca="false">IF(M156&lt;1000,0,N156/M156-1)</f>
        <v>-0.239002577487058</v>
      </c>
    </row>
    <row r="157" customFormat="false" ht="15" hidden="false" customHeight="false" outlineLevel="0" collapsed="false">
      <c r="A157" s="25" t="n">
        <f aca="false">ROW()-5</f>
        <v>152</v>
      </c>
      <c r="B157" s="4" t="s">
        <v>543</v>
      </c>
      <c r="C157" s="4" t="s">
        <v>544</v>
      </c>
      <c r="D157" s="4" t="s">
        <v>78</v>
      </c>
      <c r="E157" s="4" t="s">
        <v>168</v>
      </c>
      <c r="F157" s="16" t="n">
        <v>1299551.5</v>
      </c>
      <c r="G157" s="14" t="n">
        <f aca="false">IF(SUMIFS(F$6:F$473,D$6:D$473,D157,E$6:E$473,E157)=0,0,F157/SUMIFS(F$6:F$473,D$6:D$473,D157,E$6:E$473,E157))</f>
        <v>0.453018397139113</v>
      </c>
      <c r="H157" s="5" t="n">
        <f aca="false">SUMIFS(Pareto_Categories!$G$6:$G$84,Pareto_Categories!$B$6:$B$84,D157,Pareto_Categories!$C$6:$C$84,E157)</f>
        <v>3.36869951360875</v>
      </c>
      <c r="I157" s="28" t="n">
        <f aca="false">G157*H157</f>
        <v>1.52608285409834</v>
      </c>
      <c r="J157" s="29" t="n">
        <f aca="false">I157/$I$475</f>
        <v>0.00131916023223709</v>
      </c>
      <c r="K157" s="14" t="n">
        <f aca="false">SUM(J$6:J157)</f>
        <v>0.897181081980994</v>
      </c>
      <c r="L157" s="4" t="str">
        <f aca="false">IF(I157&lt;=0,"-",IF(K157-J157&lt;0.8,"A - top 80%",IF(K157-J157&lt;0.95,"B - next 15%","C - tail")))</f>
        <v>B - next 15%</v>
      </c>
      <c r="M157" s="16" t="n">
        <v>0</v>
      </c>
      <c r="N157" s="16" t="n">
        <v>1299551.5</v>
      </c>
      <c r="O157" s="17" t="n">
        <f aca="false">N157-M157</f>
        <v>1299551.5</v>
      </c>
      <c r="P157" s="14" t="str">
        <f aca="false">IF(M157&lt;1000,"new",R157)</f>
        <v>new</v>
      </c>
      <c r="Q157" s="4" t="str">
        <f aca="false">IF(LEFT(L157,1)="A",IF(R157&lt;-0.05,"2 FIX","1 PROTECT"),IF(AND(N157&gt;=300000,OR(P157="new",R157&gt;=0.25),LEFT(L157,1)&lt;&gt;"-"),"3 SCALE","4 MAINTAIN"))</f>
        <v>3 SCALE</v>
      </c>
      <c r="R157" s="14" t="n">
        <f aca="false">IF(M157&lt;1000,0,N157/M157-1)</f>
        <v>0</v>
      </c>
    </row>
    <row r="158" customFormat="false" ht="15" hidden="false" customHeight="false" outlineLevel="0" collapsed="false">
      <c r="A158" s="25" t="n">
        <f aca="false">ROW()-5</f>
        <v>153</v>
      </c>
      <c r="B158" s="4" t="s">
        <v>362</v>
      </c>
      <c r="C158" s="4" t="s">
        <v>363</v>
      </c>
      <c r="D158" s="4" t="s">
        <v>83</v>
      </c>
      <c r="E158" s="4" t="s">
        <v>179</v>
      </c>
      <c r="F158" s="16" t="n">
        <v>602094.642857143</v>
      </c>
      <c r="G158" s="14" t="n">
        <f aca="false">IF(SUMIFS(F$6:F$473,D$6:D$473,D158,E$6:E$473,E158)=0,0,F158/SUMIFS(F$6:F$473,D$6:D$473,D158,E$6:E$473,E158))</f>
        <v>0.0842722977999595</v>
      </c>
      <c r="H158" s="5" t="n">
        <f aca="false">SUMIFS(Pareto_Categories!$G$6:$G$84,Pareto_Categories!$B$6:$B$84,D158,Pareto_Categories!$C$6:$C$84,E158)</f>
        <v>17.1493362305561</v>
      </c>
      <c r="I158" s="28" t="n">
        <f aca="false">G158*H158</f>
        <v>1.44521396989306</v>
      </c>
      <c r="J158" s="29" t="n">
        <f aca="false">I158/$I$475</f>
        <v>0.00124925641555865</v>
      </c>
      <c r="K158" s="14" t="n">
        <f aca="false">SUM(J$6:J158)</f>
        <v>0.898430338396552</v>
      </c>
      <c r="L158" s="4" t="str">
        <f aca="false">IF(I158&lt;=0,"-",IF(K158-J158&lt;0.8,"A - top 80%",IF(K158-J158&lt;0.95,"B - next 15%","C - tail")))</f>
        <v>B - next 15%</v>
      </c>
      <c r="M158" s="16" t="n">
        <v>1620151.78571429</v>
      </c>
      <c r="N158" s="16" t="n">
        <v>1428595.53571429</v>
      </c>
      <c r="O158" s="17" t="n">
        <f aca="false">N158-M158</f>
        <v>-191556.249999999</v>
      </c>
      <c r="P158" s="14" t="n">
        <f aca="false">IF(M158&lt;1000,"new",R158)</f>
        <v>-0.118233520889246</v>
      </c>
      <c r="Q158" s="4" t="str">
        <f aca="false">IF(LEFT(L158,1)="A",IF(R158&lt;-0.05,"2 FIX","1 PROTECT"),IF(AND(N158&gt;=300000,OR(P158="new",R158&gt;=0.25),LEFT(L158,1)&lt;&gt;"-"),"3 SCALE","4 MAINTAIN"))</f>
        <v>4 MAINTAIN</v>
      </c>
      <c r="R158" s="14" t="n">
        <f aca="false">IF(M158&lt;1000,0,N158/M158-1)</f>
        <v>-0.118233520889246</v>
      </c>
    </row>
    <row r="159" customFormat="false" ht="15" hidden="false" customHeight="false" outlineLevel="0" collapsed="false">
      <c r="A159" s="25" t="n">
        <f aca="false">ROW()-5</f>
        <v>154</v>
      </c>
      <c r="B159" s="4" t="s">
        <v>545</v>
      </c>
      <c r="C159" s="4" t="s">
        <v>546</v>
      </c>
      <c r="D159" s="4" t="s">
        <v>78</v>
      </c>
      <c r="E159" s="4" t="s">
        <v>154</v>
      </c>
      <c r="F159" s="16" t="n">
        <v>449596.535714286</v>
      </c>
      <c r="G159" s="14" t="n">
        <f aca="false">IF(SUMIFS(F$6:F$473,D$6:D$473,D159,E$6:E$473,E159)=0,0,F159/SUMIFS(F$6:F$473,D$6:D$473,D159,E$6:E$473,E159))</f>
        <v>0.0119863119001502</v>
      </c>
      <c r="H159" s="5" t="n">
        <f aca="false">SUMIFS(Pareto_Categories!$G$6:$G$84,Pareto_Categories!$B$6:$B$84,D159,Pareto_Categories!$C$6:$C$84,E159)</f>
        <v>120.122971429313</v>
      </c>
      <c r="I159" s="28" t="n">
        <f aca="false">G159*H159</f>
        <v>1.43983140192458</v>
      </c>
      <c r="J159" s="29" t="n">
        <f aca="false">I159/$I$475</f>
        <v>0.00124460367367622</v>
      </c>
      <c r="K159" s="14" t="n">
        <f aca="false">SUM(J$6:J159)</f>
        <v>0.899674942070228</v>
      </c>
      <c r="L159" s="4" t="str">
        <f aca="false">IF(I159&lt;=0,"-",IF(K159-J159&lt;0.8,"A - top 80%",IF(K159-J159&lt;0.95,"B - next 15%","C - tail")))</f>
        <v>B - next 15%</v>
      </c>
      <c r="M159" s="16" t="n">
        <v>965125</v>
      </c>
      <c r="N159" s="16" t="n">
        <v>945542.071428571</v>
      </c>
      <c r="O159" s="17" t="n">
        <f aca="false">N159-M159</f>
        <v>-19582.9285714286</v>
      </c>
      <c r="P159" s="14" t="n">
        <f aca="false">IF(M159&lt;1000,"new",R159)</f>
        <v>-0.0202905619183305</v>
      </c>
      <c r="Q159" s="4" t="str">
        <f aca="false">IF(LEFT(L159,1)="A",IF(R159&lt;-0.05,"2 FIX","1 PROTECT"),IF(AND(N159&gt;=300000,OR(P159="new",R159&gt;=0.25),LEFT(L159,1)&lt;&gt;"-"),"3 SCALE","4 MAINTAIN"))</f>
        <v>4 MAINTAIN</v>
      </c>
      <c r="R159" s="14" t="n">
        <f aca="false">IF(M159&lt;1000,0,N159/M159-1)</f>
        <v>-0.0202905619183305</v>
      </c>
    </row>
    <row r="160" customFormat="false" ht="15" hidden="false" customHeight="false" outlineLevel="0" collapsed="false">
      <c r="A160" s="25" t="n">
        <f aca="false">ROW()-5</f>
        <v>155</v>
      </c>
      <c r="B160" s="4" t="s">
        <v>382</v>
      </c>
      <c r="C160" s="4" t="s">
        <v>383</v>
      </c>
      <c r="D160" s="4" t="s">
        <v>83</v>
      </c>
      <c r="E160" s="4" t="s">
        <v>179</v>
      </c>
      <c r="F160" s="16" t="n">
        <v>598368.75</v>
      </c>
      <c r="G160" s="14" t="n">
        <f aca="false">IF(SUMIFS(F$6:F$473,D$6:D$473,D160,E$6:E$473,E160)=0,0,F160/SUMIFS(F$6:F$473,D$6:D$473,D160,E$6:E$473,E160))</f>
        <v>0.0837508024567392</v>
      </c>
      <c r="H160" s="5" t="n">
        <f aca="false">SUMIFS(Pareto_Categories!$G$6:$G$84,Pareto_Categories!$B$6:$B$84,D160,Pareto_Categories!$C$6:$C$84,E160)</f>
        <v>17.1493362305561</v>
      </c>
      <c r="I160" s="28" t="n">
        <f aca="false">G160*H160</f>
        <v>1.4362706709095</v>
      </c>
      <c r="J160" s="29" t="n">
        <f aca="false">I160/$I$475</f>
        <v>0.00124152574462396</v>
      </c>
      <c r="K160" s="14" t="n">
        <f aca="false">SUM(J$6:J160)</f>
        <v>0.900916467814852</v>
      </c>
      <c r="L160" s="4" t="str">
        <f aca="false">IF(I160&lt;=0,"-",IF(K160-J160&lt;0.8,"A - top 80%",IF(K160-J160&lt;0.95,"B - next 15%","C - tail")))</f>
        <v>B - next 15%</v>
      </c>
      <c r="M160" s="16" t="n">
        <v>1459614.28571429</v>
      </c>
      <c r="N160" s="16" t="n">
        <v>1376450.89285714</v>
      </c>
      <c r="O160" s="17" t="n">
        <f aca="false">N160-M160</f>
        <v>-83163.392857142</v>
      </c>
      <c r="P160" s="14" t="n">
        <f aca="false">IF(M160&lt;1000,"new",R160)</f>
        <v>-0.0569762804263352</v>
      </c>
      <c r="Q160" s="4" t="str">
        <f aca="false">IF(LEFT(L160,1)="A",IF(R160&lt;-0.05,"2 FIX","1 PROTECT"),IF(AND(N160&gt;=300000,OR(P160="new",R160&gt;=0.25),LEFT(L160,1)&lt;&gt;"-"),"3 SCALE","4 MAINTAIN"))</f>
        <v>4 MAINTAIN</v>
      </c>
      <c r="R160" s="14" t="n">
        <f aca="false">IF(M160&lt;1000,0,N160/M160-1)</f>
        <v>-0.0569762804263352</v>
      </c>
    </row>
    <row r="161" customFormat="false" ht="15" hidden="false" customHeight="false" outlineLevel="0" collapsed="false">
      <c r="A161" s="25" t="n">
        <f aca="false">ROW()-5</f>
        <v>156</v>
      </c>
      <c r="B161" s="4" t="s">
        <v>547</v>
      </c>
      <c r="C161" s="4" t="s">
        <v>548</v>
      </c>
      <c r="D161" s="4" t="s">
        <v>78</v>
      </c>
      <c r="E161" s="4" t="s">
        <v>154</v>
      </c>
      <c r="F161" s="16" t="n">
        <v>444306.821428571</v>
      </c>
      <c r="G161" s="14" t="n">
        <f aca="false">IF(SUMIFS(F$6:F$473,D$6:D$473,D161,E$6:E$473,E161)=0,0,F161/SUMIFS(F$6:F$473,D$6:D$473,D161,E$6:E$473,E161))</f>
        <v>0.0118452873142055</v>
      </c>
      <c r="H161" s="5" t="n">
        <f aca="false">SUMIFS(Pareto_Categories!$G$6:$G$84,Pareto_Categories!$B$6:$B$84,D161,Pareto_Categories!$C$6:$C$84,E161)</f>
        <v>120.122971429313</v>
      </c>
      <c r="I161" s="28" t="n">
        <f aca="false">G161*H161</f>
        <v>1.42289110961632</v>
      </c>
      <c r="J161" s="29" t="n">
        <f aca="false">I161/$I$475</f>
        <v>0.00122996032723175</v>
      </c>
      <c r="K161" s="14" t="n">
        <f aca="false">SUM(J$6:J161)</f>
        <v>0.902146428142084</v>
      </c>
      <c r="L161" s="4" t="str">
        <f aca="false">IF(I161&lt;=0,"-",IF(K161-J161&lt;0.8,"A - top 80%",IF(K161-J161&lt;0.95,"B - next 15%","C - tail")))</f>
        <v>B - next 15%</v>
      </c>
      <c r="M161" s="16" t="n">
        <v>75872.3214285714</v>
      </c>
      <c r="N161" s="16" t="n">
        <v>669727.357142857</v>
      </c>
      <c r="O161" s="17" t="n">
        <f aca="false">N161-M161</f>
        <v>593855.035714286</v>
      </c>
      <c r="P161" s="14" t="n">
        <f aca="false">IF(M161&lt;1000,"new",R161)</f>
        <v>7.82703131435565</v>
      </c>
      <c r="Q161" s="4" t="str">
        <f aca="false">IF(LEFT(L161,1)="A",IF(R161&lt;-0.05,"2 FIX","1 PROTECT"),IF(AND(N161&gt;=300000,OR(P161="new",R161&gt;=0.25),LEFT(L161,1)&lt;&gt;"-"),"3 SCALE","4 MAINTAIN"))</f>
        <v>3 SCALE</v>
      </c>
      <c r="R161" s="14" t="n">
        <f aca="false">IF(M161&lt;1000,0,N161/M161-1)</f>
        <v>7.82703131435565</v>
      </c>
    </row>
    <row r="162" customFormat="false" ht="15" hidden="false" customHeight="false" outlineLevel="0" collapsed="false">
      <c r="A162" s="25" t="n">
        <f aca="false">ROW()-5</f>
        <v>157</v>
      </c>
      <c r="B162" s="4" t="s">
        <v>549</v>
      </c>
      <c r="C162" s="4" t="s">
        <v>550</v>
      </c>
      <c r="D162" s="4" t="s">
        <v>78</v>
      </c>
      <c r="E162" s="4" t="s">
        <v>157</v>
      </c>
      <c r="F162" s="16" t="n">
        <v>461291.071428571</v>
      </c>
      <c r="G162" s="14" t="n">
        <f aca="false">IF(SUMIFS(F$6:F$473,D$6:D$473,D162,E$6:E$473,E162)=0,0,F162/SUMIFS(F$6:F$473,D$6:D$473,D162,E$6:E$473,E162))</f>
        <v>0.0357283350198105</v>
      </c>
      <c r="H162" s="5" t="n">
        <f aca="false">SUMIFS(Pareto_Categories!$G$6:$G$84,Pareto_Categories!$B$6:$B$84,D162,Pareto_Categories!$C$6:$C$84,E162)</f>
        <v>38.9811115222903</v>
      </c>
      <c r="I162" s="28" t="n">
        <f aca="false">G162*H162</f>
        <v>1.39273021191298</v>
      </c>
      <c r="J162" s="29" t="n">
        <f aca="false">I162/$I$475</f>
        <v>0.00120388896635382</v>
      </c>
      <c r="K162" s="14" t="n">
        <f aca="false">SUM(J$6:J162)</f>
        <v>0.903350317108438</v>
      </c>
      <c r="L162" s="4" t="str">
        <f aca="false">IF(I162&lt;=0,"-",IF(K162-J162&lt;0.8,"A - top 80%",IF(K162-J162&lt;0.95,"B - next 15%","C - tail")))</f>
        <v>B - next 15%</v>
      </c>
      <c r="M162" s="16" t="n">
        <v>933410.714285714</v>
      </c>
      <c r="N162" s="16" t="n">
        <v>943377.678571428</v>
      </c>
      <c r="O162" s="17" t="n">
        <f aca="false">N162-M162</f>
        <v>9966.96428571432</v>
      </c>
      <c r="P162" s="14" t="n">
        <f aca="false">IF(M162&lt;1000,"new",R162)</f>
        <v>0.0106780050123396</v>
      </c>
      <c r="Q162" s="4" t="str">
        <f aca="false">IF(LEFT(L162,1)="A",IF(R162&lt;-0.05,"2 FIX","1 PROTECT"),IF(AND(N162&gt;=300000,OR(P162="new",R162&gt;=0.25),LEFT(L162,1)&lt;&gt;"-"),"3 SCALE","4 MAINTAIN"))</f>
        <v>4 MAINTAIN</v>
      </c>
      <c r="R162" s="14" t="n">
        <f aca="false">IF(M162&lt;1000,0,N162/M162-1)</f>
        <v>0.0106780050123396</v>
      </c>
    </row>
    <row r="163" customFormat="false" ht="15" hidden="false" customHeight="false" outlineLevel="0" collapsed="false">
      <c r="A163" s="25" t="n">
        <f aca="false">ROW()-5</f>
        <v>158</v>
      </c>
      <c r="B163" s="4" t="s">
        <v>551</v>
      </c>
      <c r="C163" s="4" t="s">
        <v>552</v>
      </c>
      <c r="D163" s="4" t="s">
        <v>78</v>
      </c>
      <c r="E163" s="4" t="s">
        <v>163</v>
      </c>
      <c r="F163" s="16" t="n">
        <v>454027.678571429</v>
      </c>
      <c r="G163" s="14" t="n">
        <f aca="false">IF(SUMIFS(F$6:F$473,D$6:D$473,D163,E$6:E$473,E163)=0,0,F163/SUMIFS(F$6:F$473,D$6:D$473,D163,E$6:E$473,E163))</f>
        <v>0.0670700900490852</v>
      </c>
      <c r="H163" s="5" t="n">
        <f aca="false">SUMIFS(Pareto_Categories!$G$6:$G$84,Pareto_Categories!$B$6:$B$84,D163,Pareto_Categories!$C$6:$C$84,E163)</f>
        <v>20.2211384933392</v>
      </c>
      <c r="I163" s="28" t="n">
        <f aca="false">G163*H163</f>
        <v>1.35623357964328</v>
      </c>
      <c r="J163" s="29" t="n">
        <f aca="false">I163/$I$475</f>
        <v>0.00117234093750894</v>
      </c>
      <c r="K163" s="14" t="n">
        <f aca="false">SUM(J$6:J163)</f>
        <v>0.904522658045947</v>
      </c>
      <c r="L163" s="4" t="str">
        <f aca="false">IF(I163&lt;=0,"-",IF(K163-J163&lt;0.8,"A - top 80%",IF(K163-J163&lt;0.95,"B - next 15%","C - tail")))</f>
        <v>B - next 15%</v>
      </c>
      <c r="M163" s="16" t="n">
        <v>441977.535714286</v>
      </c>
      <c r="N163" s="16" t="n">
        <v>655250.892857143</v>
      </c>
      <c r="O163" s="17" t="n">
        <f aca="false">N163-M163</f>
        <v>213273.357142857</v>
      </c>
      <c r="P163" s="14" t="n">
        <f aca="false">IF(M163&lt;1000,"new",R163)</f>
        <v>0.482543432435278</v>
      </c>
      <c r="Q163" s="4" t="str">
        <f aca="false">IF(LEFT(L163,1)="A",IF(R163&lt;-0.05,"2 FIX","1 PROTECT"),IF(AND(N163&gt;=300000,OR(P163="new",R163&gt;=0.25),LEFT(L163,1)&lt;&gt;"-"),"3 SCALE","4 MAINTAIN"))</f>
        <v>3 SCALE</v>
      </c>
      <c r="R163" s="14" t="n">
        <f aca="false">IF(M163&lt;1000,0,N163/M163-1)</f>
        <v>0.482543432435278</v>
      </c>
    </row>
    <row r="164" customFormat="false" ht="15" hidden="false" customHeight="false" outlineLevel="0" collapsed="false">
      <c r="A164" s="25" t="n">
        <f aca="false">ROW()-5</f>
        <v>159</v>
      </c>
      <c r="B164" s="4" t="s">
        <v>553</v>
      </c>
      <c r="C164" s="4" t="s">
        <v>554</v>
      </c>
      <c r="D164" s="4" t="s">
        <v>78</v>
      </c>
      <c r="E164" s="4" t="s">
        <v>154</v>
      </c>
      <c r="F164" s="16" t="n">
        <v>422355.357142857</v>
      </c>
      <c r="G164" s="14" t="n">
        <f aca="false">IF(SUMIFS(F$6:F$473,D$6:D$473,D164,E$6:E$473,E164)=0,0,F164/SUMIFS(F$6:F$473,D$6:D$473,D164,E$6:E$473,E164))</f>
        <v>0.0112600579436643</v>
      </c>
      <c r="H164" s="5" t="n">
        <f aca="false">SUMIFS(Pareto_Categories!$G$6:$G$84,Pareto_Categories!$B$6:$B$84,D164,Pareto_Categories!$C$6:$C$84,E164)</f>
        <v>120.122971429313</v>
      </c>
      <c r="I164" s="28" t="n">
        <f aca="false">G164*H164</f>
        <v>1.3525916186592</v>
      </c>
      <c r="J164" s="29" t="n">
        <f aca="false">I164/$I$475</f>
        <v>0.00116919279251494</v>
      </c>
      <c r="K164" s="14" t="n">
        <f aca="false">SUM(J$6:J164)</f>
        <v>0.905691850838462</v>
      </c>
      <c r="L164" s="4" t="str">
        <f aca="false">IF(I164&lt;=0,"-",IF(K164-J164&lt;0.8,"A - top 80%",IF(K164-J164&lt;0.95,"B - next 15%","C - tail")))</f>
        <v>B - next 15%</v>
      </c>
      <c r="M164" s="16" t="n">
        <v>0</v>
      </c>
      <c r="N164" s="16" t="n">
        <v>422355.357142857</v>
      </c>
      <c r="O164" s="17" t="n">
        <f aca="false">N164-M164</f>
        <v>422355.357142857</v>
      </c>
      <c r="P164" s="14" t="str">
        <f aca="false">IF(M164&lt;1000,"new",R164)</f>
        <v>new</v>
      </c>
      <c r="Q164" s="4" t="str">
        <f aca="false">IF(LEFT(L164,1)="A",IF(R164&lt;-0.05,"2 FIX","1 PROTECT"),IF(AND(N164&gt;=300000,OR(P164="new",R164&gt;=0.25),LEFT(L164,1)&lt;&gt;"-"),"3 SCALE","4 MAINTAIN"))</f>
        <v>3 SCALE</v>
      </c>
      <c r="R164" s="14" t="n">
        <f aca="false">IF(M164&lt;1000,0,N164/M164-1)</f>
        <v>0</v>
      </c>
    </row>
    <row r="165" customFormat="false" ht="15" hidden="false" customHeight="false" outlineLevel="0" collapsed="false">
      <c r="A165" s="25" t="n">
        <f aca="false">ROW()-5</f>
        <v>160</v>
      </c>
      <c r="B165" s="4" t="s">
        <v>555</v>
      </c>
      <c r="C165" s="4" t="s">
        <v>556</v>
      </c>
      <c r="D165" s="4" t="s">
        <v>78</v>
      </c>
      <c r="E165" s="4" t="s">
        <v>166</v>
      </c>
      <c r="F165" s="16" t="n">
        <v>325490.178571429</v>
      </c>
      <c r="G165" s="14" t="n">
        <f aca="false">IF(SUMIFS(F$6:F$473,D$6:D$473,D165,E$6:E$473,E165)=0,0,F165/SUMIFS(F$6:F$473,D$6:D$473,D165,E$6:E$473,E165))</f>
        <v>0.0959031478201219</v>
      </c>
      <c r="H165" s="5" t="n">
        <f aca="false">SUMIFS(Pareto_Categories!$G$6:$G$84,Pareto_Categories!$B$6:$B$84,D165,Pareto_Categories!$C$6:$C$84,E165)</f>
        <v>13.503490691206</v>
      </c>
      <c r="I165" s="28" t="n">
        <f aca="false">G165*H165</f>
        <v>1.29502726384636</v>
      </c>
      <c r="J165" s="29" t="n">
        <f aca="false">I165/$I$475</f>
        <v>0.00111943362808979</v>
      </c>
      <c r="K165" s="14" t="n">
        <f aca="false">SUM(J$6:J165)</f>
        <v>0.906811284466552</v>
      </c>
      <c r="L165" s="4" t="str">
        <f aca="false">IF(I165&lt;=0,"-",IF(K165-J165&lt;0.8,"A - top 80%",IF(K165-J165&lt;0.95,"B - next 15%","C - tail")))</f>
        <v>B - next 15%</v>
      </c>
      <c r="M165" s="16" t="n">
        <v>680373.4375</v>
      </c>
      <c r="N165" s="16" t="n">
        <v>720398.214285714</v>
      </c>
      <c r="O165" s="17" t="n">
        <f aca="false">N165-M165</f>
        <v>40024.7767857142</v>
      </c>
      <c r="P165" s="14" t="n">
        <f aca="false">IF(M165&lt;1000,"new",R165)</f>
        <v>0.0588276593113091</v>
      </c>
      <c r="Q165" s="4" t="str">
        <f aca="false">IF(LEFT(L165,1)="A",IF(R165&lt;-0.05,"2 FIX","1 PROTECT"),IF(AND(N165&gt;=300000,OR(P165="new",R165&gt;=0.25),LEFT(L165,1)&lt;&gt;"-"),"3 SCALE","4 MAINTAIN"))</f>
        <v>4 MAINTAIN</v>
      </c>
      <c r="R165" s="14" t="n">
        <f aca="false">IF(M165&lt;1000,0,N165/M165-1)</f>
        <v>0.0588276593113091</v>
      </c>
    </row>
    <row r="166" customFormat="false" ht="15" hidden="false" customHeight="false" outlineLevel="0" collapsed="false">
      <c r="A166" s="25" t="n">
        <f aca="false">ROW()-5</f>
        <v>161</v>
      </c>
      <c r="B166" s="4" t="s">
        <v>557</v>
      </c>
      <c r="C166" s="4" t="s">
        <v>558</v>
      </c>
      <c r="D166" s="4" t="s">
        <v>78</v>
      </c>
      <c r="E166" s="4" t="s">
        <v>158</v>
      </c>
      <c r="F166" s="16" t="n">
        <v>479088.651785714</v>
      </c>
      <c r="G166" s="14" t="n">
        <f aca="false">IF(SUMIFS(F$6:F$473,D$6:D$473,D166,E$6:E$473,E166)=0,0,F166/SUMIFS(F$6:F$473,D$6:D$473,D166,E$6:E$473,E166))</f>
        <v>0.0388487704425716</v>
      </c>
      <c r="H166" s="5" t="n">
        <f aca="false">SUMIFS(Pareto_Categories!$G$6:$G$84,Pareto_Categories!$B$6:$B$84,D166,Pareto_Categories!$C$6:$C$84,E166)</f>
        <v>33.2897401825497</v>
      </c>
      <c r="I166" s="28" t="n">
        <f aca="false">G166*H166</f>
        <v>1.29326547444473</v>
      </c>
      <c r="J166" s="29" t="n">
        <f aca="false">I166/$I$475</f>
        <v>0.00111791072092261</v>
      </c>
      <c r="K166" s="14" t="n">
        <f aca="false">SUM(J$6:J166)</f>
        <v>0.907929195187474</v>
      </c>
      <c r="L166" s="4" t="str">
        <f aca="false">IF(I166&lt;=0,"-",IF(K166-J166&lt;0.8,"A - top 80%",IF(K166-J166&lt;0.95,"B - next 15%","C - tail")))</f>
        <v>B - next 15%</v>
      </c>
      <c r="M166" s="16" t="n">
        <v>1180771.30357143</v>
      </c>
      <c r="N166" s="16" t="n">
        <v>982942.928571429</v>
      </c>
      <c r="O166" s="17" t="n">
        <f aca="false">N166-M166</f>
        <v>-197828.375000001</v>
      </c>
      <c r="P166" s="14" t="n">
        <f aca="false">IF(M166&lt;1000,"new",R166)</f>
        <v>-0.16754165214012</v>
      </c>
      <c r="Q166" s="4" t="str">
        <f aca="false">IF(LEFT(L166,1)="A",IF(R166&lt;-0.05,"2 FIX","1 PROTECT"),IF(AND(N166&gt;=300000,OR(P166="new",R166&gt;=0.25),LEFT(L166,1)&lt;&gt;"-"),"3 SCALE","4 MAINTAIN"))</f>
        <v>4 MAINTAIN</v>
      </c>
      <c r="R166" s="14" t="n">
        <f aca="false">IF(M166&lt;1000,0,N166/M166-1)</f>
        <v>-0.16754165214012</v>
      </c>
    </row>
    <row r="167" customFormat="false" ht="15" hidden="false" customHeight="false" outlineLevel="0" collapsed="false">
      <c r="A167" s="25" t="n">
        <f aca="false">ROW()-5</f>
        <v>162</v>
      </c>
      <c r="B167" s="4" t="s">
        <v>559</v>
      </c>
      <c r="C167" s="4" t="s">
        <v>560</v>
      </c>
      <c r="D167" s="4" t="s">
        <v>78</v>
      </c>
      <c r="E167" s="4" t="s">
        <v>154</v>
      </c>
      <c r="F167" s="16" t="n">
        <v>403778.571428571</v>
      </c>
      <c r="G167" s="14" t="n">
        <f aca="false">IF(SUMIFS(F$6:F$473,D$6:D$473,D167,E$6:E$473,E167)=0,0,F167/SUMIFS(F$6:F$473,D$6:D$473,D167,E$6:E$473,E167))</f>
        <v>0.0107647980161831</v>
      </c>
      <c r="H167" s="5" t="n">
        <f aca="false">SUMIFS(Pareto_Categories!$G$6:$G$84,Pareto_Categories!$B$6:$B$84,D167,Pareto_Categories!$C$6:$C$84,E167)</f>
        <v>120.122971429313</v>
      </c>
      <c r="I167" s="28" t="n">
        <f aca="false">G167*H167</f>
        <v>1.29309952454029</v>
      </c>
      <c r="J167" s="29" t="n">
        <f aca="false">I167/$I$475</f>
        <v>0.00111776727227964</v>
      </c>
      <c r="K167" s="14" t="n">
        <f aca="false">SUM(J$6:J167)</f>
        <v>0.909046962459754</v>
      </c>
      <c r="L167" s="4" t="str">
        <f aca="false">IF(I167&lt;=0,"-",IF(K167-J167&lt;0.8,"A - top 80%",IF(K167-J167&lt;0.95,"B - next 15%","C - tail")))</f>
        <v>B - next 15%</v>
      </c>
      <c r="M167" s="16" t="n">
        <v>143116.071428571</v>
      </c>
      <c r="N167" s="16" t="n">
        <v>829407.142857143</v>
      </c>
      <c r="O167" s="17" t="n">
        <f aca="false">N167-M167</f>
        <v>686291.071428571</v>
      </c>
      <c r="P167" s="14" t="n">
        <f aca="false">IF(M167&lt;1000,"new",R167)</f>
        <v>4.79534593549192</v>
      </c>
      <c r="Q167" s="4" t="str">
        <f aca="false">IF(LEFT(L167,1)="A",IF(R167&lt;-0.05,"2 FIX","1 PROTECT"),IF(AND(N167&gt;=300000,OR(P167="new",R167&gt;=0.25),LEFT(L167,1)&lt;&gt;"-"),"3 SCALE","4 MAINTAIN"))</f>
        <v>3 SCALE</v>
      </c>
      <c r="R167" s="14" t="n">
        <f aca="false">IF(M167&lt;1000,0,N167/M167-1)</f>
        <v>4.79534593549192</v>
      </c>
    </row>
    <row r="168" customFormat="false" ht="15" hidden="false" customHeight="false" outlineLevel="0" collapsed="false">
      <c r="A168" s="25" t="n">
        <f aca="false">ROW()-5</f>
        <v>163</v>
      </c>
      <c r="B168" s="4" t="s">
        <v>561</v>
      </c>
      <c r="C168" s="4" t="s">
        <v>562</v>
      </c>
      <c r="D168" s="4" t="s">
        <v>78</v>
      </c>
      <c r="E168" s="4" t="s">
        <v>165</v>
      </c>
      <c r="F168" s="16" t="n">
        <v>279185.098214286</v>
      </c>
      <c r="G168" s="14" t="n">
        <f aca="false">IF(SUMIFS(F$6:F$473,D$6:D$473,D168,E$6:E$473,E168)=0,0,F168/SUMIFS(F$6:F$473,D$6:D$473,D168,E$6:E$473,E168))</f>
        <v>0.0792832218846679</v>
      </c>
      <c r="H168" s="5" t="n">
        <f aca="false">SUMIFS(Pareto_Categories!$G$6:$G$84,Pareto_Categories!$B$6:$B$84,D168,Pareto_Categories!$C$6:$C$84,E168)</f>
        <v>16.2037922025372</v>
      </c>
      <c r="I168" s="28" t="n">
        <f aca="false">G168*H168</f>
        <v>1.28468885256681</v>
      </c>
      <c r="J168" s="29" t="n">
        <f aca="false">I168/$I$475</f>
        <v>0.00111049700909307</v>
      </c>
      <c r="K168" s="14" t="n">
        <f aca="false">SUM(J$6:J168)</f>
        <v>0.910157459468847</v>
      </c>
      <c r="L168" s="4" t="str">
        <f aca="false">IF(I168&lt;=0,"-",IF(K168-J168&lt;0.8,"A - top 80%",IF(K168-J168&lt;0.95,"B - next 15%","C - tail")))</f>
        <v>B - next 15%</v>
      </c>
      <c r="M168" s="16" t="n">
        <v>0</v>
      </c>
      <c r="N168" s="16" t="n">
        <v>346452.642857143</v>
      </c>
      <c r="O168" s="17" t="n">
        <f aca="false">N168-M168</f>
        <v>346452.642857143</v>
      </c>
      <c r="P168" s="14" t="str">
        <f aca="false">IF(M168&lt;1000,"new",R168)</f>
        <v>new</v>
      </c>
      <c r="Q168" s="4" t="str">
        <f aca="false">IF(LEFT(L168,1)="A",IF(R168&lt;-0.05,"2 FIX","1 PROTECT"),IF(AND(N168&gt;=300000,OR(P168="new",R168&gt;=0.25),LEFT(L168,1)&lt;&gt;"-"),"3 SCALE","4 MAINTAIN"))</f>
        <v>3 SCALE</v>
      </c>
      <c r="R168" s="14" t="n">
        <f aca="false">IF(M168&lt;1000,0,N168/M168-1)</f>
        <v>0</v>
      </c>
    </row>
    <row r="169" customFormat="false" ht="15" hidden="false" customHeight="false" outlineLevel="0" collapsed="false">
      <c r="A169" s="25" t="n">
        <f aca="false">ROW()-5</f>
        <v>164</v>
      </c>
      <c r="B169" s="4" t="s">
        <v>563</v>
      </c>
      <c r="C169" s="4" t="s">
        <v>564</v>
      </c>
      <c r="D169" s="4" t="s">
        <v>78</v>
      </c>
      <c r="E169" s="4" t="s">
        <v>156</v>
      </c>
      <c r="F169" s="16" t="n">
        <v>452200.892857143</v>
      </c>
      <c r="G169" s="14" t="n">
        <f aca="false">IF(SUMIFS(F$6:F$473,D$6:D$473,D169,E$6:E$473,E169)=0,0,F169/SUMIFS(F$6:F$473,D$6:D$473,D169,E$6:E$473,E169))</f>
        <v>0.0251093016505033</v>
      </c>
      <c r="H169" s="5" t="n">
        <f aca="false">SUMIFS(Pareto_Categories!$G$6:$G$84,Pareto_Categories!$B$6:$B$84,D169,Pareto_Categories!$C$6:$C$84,E169)</f>
        <v>51.0983233945647</v>
      </c>
      <c r="I169" s="28" t="n">
        <f aca="false">G169*H169</f>
        <v>1.28304321594909</v>
      </c>
      <c r="J169" s="29" t="n">
        <f aca="false">I169/$I$475</f>
        <v>0.00110907450547411</v>
      </c>
      <c r="K169" s="14" t="n">
        <f aca="false">SUM(J$6:J169)</f>
        <v>0.911266533974321</v>
      </c>
      <c r="L169" s="4" t="str">
        <f aca="false">IF(I169&lt;=0,"-",IF(K169-J169&lt;0.8,"A - top 80%",IF(K169-J169&lt;0.95,"B - next 15%","C - tail")))</f>
        <v>B - next 15%</v>
      </c>
      <c r="M169" s="16" t="n">
        <v>1251952.23214286</v>
      </c>
      <c r="N169" s="16" t="n">
        <v>1093404.46428571</v>
      </c>
      <c r="O169" s="17" t="n">
        <f aca="false">N169-M169</f>
        <v>-158547.767857143</v>
      </c>
      <c r="P169" s="14" t="n">
        <f aca="false">IF(M169&lt;1000,"new",R169)</f>
        <v>-0.126640429072738</v>
      </c>
      <c r="Q169" s="4" t="str">
        <f aca="false">IF(LEFT(L169,1)="A",IF(R169&lt;-0.05,"2 FIX","1 PROTECT"),IF(AND(N169&gt;=300000,OR(P169="new",R169&gt;=0.25),LEFT(L169,1)&lt;&gt;"-"),"3 SCALE","4 MAINTAIN"))</f>
        <v>4 MAINTAIN</v>
      </c>
      <c r="R169" s="14" t="n">
        <f aca="false">IF(M169&lt;1000,0,N169/M169-1)</f>
        <v>-0.126640429072738</v>
      </c>
    </row>
    <row r="170" customFormat="false" ht="15" hidden="false" customHeight="false" outlineLevel="0" collapsed="false">
      <c r="A170" s="25" t="n">
        <f aca="false">ROW()-5</f>
        <v>165</v>
      </c>
      <c r="B170" s="4" t="s">
        <v>565</v>
      </c>
      <c r="C170" s="4" t="s">
        <v>566</v>
      </c>
      <c r="D170" s="4" t="s">
        <v>78</v>
      </c>
      <c r="E170" s="4" t="s">
        <v>168</v>
      </c>
      <c r="F170" s="16" t="n">
        <v>1091515.17857143</v>
      </c>
      <c r="G170" s="14" t="n">
        <f aca="false">IF(SUMIFS(F$6:F$473,D$6:D$473,D170,E$6:E$473,E170)=0,0,F170/SUMIFS(F$6:F$473,D$6:D$473,D170,E$6:E$473,E170))</f>
        <v>0.380497776847967</v>
      </c>
      <c r="H170" s="5" t="n">
        <f aca="false">SUMIFS(Pareto_Categories!$G$6:$G$84,Pareto_Categories!$B$6:$B$84,D170,Pareto_Categories!$C$6:$C$84,E170)</f>
        <v>3.36869951360875</v>
      </c>
      <c r="I170" s="28" t="n">
        <f aca="false">G170*H170</f>
        <v>1.28178267579696</v>
      </c>
      <c r="J170" s="29" t="n">
        <f aca="false">I170/$I$475</f>
        <v>0.00110798488282657</v>
      </c>
      <c r="K170" s="14" t="n">
        <f aca="false">SUM(J$6:J170)</f>
        <v>0.912374518857148</v>
      </c>
      <c r="L170" s="4" t="str">
        <f aca="false">IF(I170&lt;=0,"-",IF(K170-J170&lt;0.8,"A - top 80%",IF(K170-J170&lt;0.95,"B - next 15%","C - tail")))</f>
        <v>B - next 15%</v>
      </c>
      <c r="M170" s="16" t="n">
        <v>0</v>
      </c>
      <c r="N170" s="16" t="n">
        <v>1091515.17857143</v>
      </c>
      <c r="O170" s="17" t="n">
        <f aca="false">N170-M170</f>
        <v>1091515.17857143</v>
      </c>
      <c r="P170" s="14" t="str">
        <f aca="false">IF(M170&lt;1000,"new",R170)</f>
        <v>new</v>
      </c>
      <c r="Q170" s="4" t="str">
        <f aca="false">IF(LEFT(L170,1)="A",IF(R170&lt;-0.05,"2 FIX","1 PROTECT"),IF(AND(N170&gt;=300000,OR(P170="new",R170&gt;=0.25),LEFT(L170,1)&lt;&gt;"-"),"3 SCALE","4 MAINTAIN"))</f>
        <v>3 SCALE</v>
      </c>
      <c r="R170" s="14" t="n">
        <f aca="false">IF(M170&lt;1000,0,N170/M170-1)</f>
        <v>0</v>
      </c>
    </row>
    <row r="171" customFormat="false" ht="15" hidden="false" customHeight="false" outlineLevel="0" collapsed="false">
      <c r="A171" s="25" t="n">
        <f aca="false">ROW()-5</f>
        <v>166</v>
      </c>
      <c r="B171" s="4" t="s">
        <v>567</v>
      </c>
      <c r="C171" s="4" t="s">
        <v>568</v>
      </c>
      <c r="D171" s="4" t="s">
        <v>78</v>
      </c>
      <c r="E171" s="4" t="s">
        <v>154</v>
      </c>
      <c r="F171" s="16" t="n">
        <v>398249.107142857</v>
      </c>
      <c r="G171" s="14" t="n">
        <f aca="false">IF(SUMIFS(F$6:F$473,D$6:D$473,D171,E$6:E$473,E171)=0,0,F171/SUMIFS(F$6:F$473,D$6:D$473,D171,E$6:E$473,E171))</f>
        <v>0.0106173816588394</v>
      </c>
      <c r="H171" s="5" t="n">
        <f aca="false">SUMIFS(Pareto_Categories!$G$6:$G$84,Pareto_Categories!$B$6:$B$84,D171,Pareto_Categories!$C$6:$C$84,E171)</f>
        <v>120.122971429313</v>
      </c>
      <c r="I171" s="28" t="n">
        <f aca="false">G171*H171</f>
        <v>1.27539143365888</v>
      </c>
      <c r="J171" s="29" t="n">
        <f aca="false">I171/$I$475</f>
        <v>0.00110246023359767</v>
      </c>
      <c r="K171" s="14" t="n">
        <f aca="false">SUM(J$6:J171)</f>
        <v>0.913476979090745</v>
      </c>
      <c r="L171" s="4" t="str">
        <f aca="false">IF(I171&lt;=0,"-",IF(K171-J171&lt;0.8,"A - top 80%",IF(K171-J171&lt;0.95,"B - next 15%","C - tail")))</f>
        <v>B - next 15%</v>
      </c>
      <c r="M171" s="16" t="n">
        <v>0</v>
      </c>
      <c r="N171" s="16" t="n">
        <v>398249.107142857</v>
      </c>
      <c r="O171" s="17" t="n">
        <f aca="false">N171-M171</f>
        <v>398249.107142857</v>
      </c>
      <c r="P171" s="14" t="str">
        <f aca="false">IF(M171&lt;1000,"new",R171)</f>
        <v>new</v>
      </c>
      <c r="Q171" s="4" t="str">
        <f aca="false">IF(LEFT(L171,1)="A",IF(R171&lt;-0.05,"2 FIX","1 PROTECT"),IF(AND(N171&gt;=300000,OR(P171="new",R171&gt;=0.25),LEFT(L171,1)&lt;&gt;"-"),"3 SCALE","4 MAINTAIN"))</f>
        <v>3 SCALE</v>
      </c>
      <c r="R171" s="14" t="n">
        <f aca="false">IF(M171&lt;1000,0,N171/M171-1)</f>
        <v>0</v>
      </c>
    </row>
    <row r="172" customFormat="false" ht="15" hidden="false" customHeight="false" outlineLevel="0" collapsed="false">
      <c r="A172" s="25" t="n">
        <f aca="false">ROW()-5</f>
        <v>167</v>
      </c>
      <c r="B172" s="4" t="s">
        <v>569</v>
      </c>
      <c r="C172" s="4" t="s">
        <v>570</v>
      </c>
      <c r="D172" s="4" t="s">
        <v>78</v>
      </c>
      <c r="E172" s="4" t="s">
        <v>158</v>
      </c>
      <c r="F172" s="16" t="n">
        <v>470704.723214286</v>
      </c>
      <c r="G172" s="14" t="n">
        <f aca="false">IF(SUMIFS(F$6:F$473,D$6:D$473,D172,E$6:E$473,E172)=0,0,F172/SUMIFS(F$6:F$473,D$6:D$473,D172,E$6:E$473,E172))</f>
        <v>0.0381689269203668</v>
      </c>
      <c r="H172" s="5" t="n">
        <f aca="false">SUMIFS(Pareto_Categories!$G$6:$G$84,Pareto_Categories!$B$6:$B$84,D172,Pareto_Categories!$C$6:$C$84,E172)</f>
        <v>33.2897401825497</v>
      </c>
      <c r="I172" s="28" t="n">
        <f aca="false">G172*H172</f>
        <v>1.27063366022574</v>
      </c>
      <c r="J172" s="29" t="n">
        <f aca="false">I172/$I$475</f>
        <v>0.00109834756993059</v>
      </c>
      <c r="K172" s="14" t="n">
        <f aca="false">SUM(J$6:J172)</f>
        <v>0.914575326660676</v>
      </c>
      <c r="L172" s="4" t="str">
        <f aca="false">IF(I172&lt;=0,"-",IF(K172-J172&lt;0.8,"A - top 80%",IF(K172-J172&lt;0.95,"B - next 15%","C - tail")))</f>
        <v>B - next 15%</v>
      </c>
      <c r="M172" s="16" t="n">
        <v>1139452.67857143</v>
      </c>
      <c r="N172" s="16" t="n">
        <v>988742.928571429</v>
      </c>
      <c r="O172" s="17" t="n">
        <f aca="false">N172-M172</f>
        <v>-150709.749999999</v>
      </c>
      <c r="P172" s="14" t="n">
        <f aca="false">IF(M172&lt;1000,"new",R172)</f>
        <v>-0.132265036393569</v>
      </c>
      <c r="Q172" s="4" t="str">
        <f aca="false">IF(LEFT(L172,1)="A",IF(R172&lt;-0.05,"2 FIX","1 PROTECT"),IF(AND(N172&gt;=300000,OR(P172="new",R172&gt;=0.25),LEFT(L172,1)&lt;&gt;"-"),"3 SCALE","4 MAINTAIN"))</f>
        <v>4 MAINTAIN</v>
      </c>
      <c r="R172" s="14" t="n">
        <f aca="false">IF(M172&lt;1000,0,N172/M172-1)</f>
        <v>-0.132265036393569</v>
      </c>
    </row>
    <row r="173" customFormat="false" ht="15" hidden="false" customHeight="false" outlineLevel="0" collapsed="false">
      <c r="A173" s="25" t="n">
        <f aca="false">ROW()-5</f>
        <v>168</v>
      </c>
      <c r="B173" s="4" t="s">
        <v>571</v>
      </c>
      <c r="C173" s="4" t="s">
        <v>572</v>
      </c>
      <c r="D173" s="4" t="s">
        <v>78</v>
      </c>
      <c r="E173" s="4" t="s">
        <v>154</v>
      </c>
      <c r="F173" s="16" t="n">
        <v>392405.357142857</v>
      </c>
      <c r="G173" s="14" t="n">
        <f aca="false">IF(SUMIFS(F$6:F$473,D$6:D$473,D173,E$6:E$473,E173)=0,0,F173/SUMIFS(F$6:F$473,D$6:D$473,D173,E$6:E$473,E173))</f>
        <v>0.0104615863966379</v>
      </c>
      <c r="H173" s="5" t="n">
        <f aca="false">SUMIFS(Pareto_Categories!$G$6:$G$84,Pareto_Categories!$B$6:$B$84,D173,Pareto_Categories!$C$6:$C$84,E173)</f>
        <v>120.122971429313</v>
      </c>
      <c r="I173" s="28" t="n">
        <f aca="false">G173*H173</f>
        <v>1.25667684382863</v>
      </c>
      <c r="J173" s="29" t="n">
        <f aca="false">I173/$I$475</f>
        <v>0.00108628316785028</v>
      </c>
      <c r="K173" s="14" t="n">
        <f aca="false">SUM(J$6:J173)</f>
        <v>0.915661609828526</v>
      </c>
      <c r="L173" s="4" t="str">
        <f aca="false">IF(I173&lt;=0,"-",IF(K173-J173&lt;0.8,"A - top 80%",IF(K173-J173&lt;0.95,"B - next 15%","C - tail")))</f>
        <v>B - next 15%</v>
      </c>
      <c r="M173" s="16" t="n">
        <v>749855.544642857</v>
      </c>
      <c r="N173" s="16" t="n">
        <v>852850</v>
      </c>
      <c r="O173" s="17" t="n">
        <f aca="false">N173-M173</f>
        <v>102994.455357143</v>
      </c>
      <c r="P173" s="14" t="n">
        <f aca="false">IF(M173&lt;1000,"new",R173)</f>
        <v>0.137352395528658</v>
      </c>
      <c r="Q173" s="4" t="str">
        <f aca="false">IF(LEFT(L173,1)="A",IF(R173&lt;-0.05,"2 FIX","1 PROTECT"),IF(AND(N173&gt;=300000,OR(P173="new",R173&gt;=0.25),LEFT(L173,1)&lt;&gt;"-"),"3 SCALE","4 MAINTAIN"))</f>
        <v>4 MAINTAIN</v>
      </c>
      <c r="R173" s="14" t="n">
        <f aca="false">IF(M173&lt;1000,0,N173/M173-1)</f>
        <v>0.137352395528658</v>
      </c>
    </row>
    <row r="174" customFormat="false" ht="15" hidden="false" customHeight="false" outlineLevel="0" collapsed="false">
      <c r="A174" s="25" t="n">
        <f aca="false">ROW()-5</f>
        <v>169</v>
      </c>
      <c r="B174" s="4" t="s">
        <v>486</v>
      </c>
      <c r="C174" s="4" t="s">
        <v>487</v>
      </c>
      <c r="D174" s="4" t="s">
        <v>83</v>
      </c>
      <c r="E174" s="4" t="s">
        <v>165</v>
      </c>
      <c r="F174" s="16" t="n">
        <v>178726.785714286</v>
      </c>
      <c r="G174" s="14" t="n">
        <f aca="false">IF(SUMIFS(F$6:F$473,D$6:D$473,D174,E$6:E$473,E174)=0,0,F174/SUMIFS(F$6:F$473,D$6:D$473,D174,E$6:E$473,E174))</f>
        <v>0.584410389959215</v>
      </c>
      <c r="H174" s="5" t="n">
        <f aca="false">SUMIFS(Pareto_Categories!$G$6:$G$84,Pareto_Categories!$B$6:$B$84,D174,Pareto_Categories!$C$6:$C$84,E174)</f>
        <v>2.14151466877589</v>
      </c>
      <c r="I174" s="28" t="n">
        <f aca="false">G174*H174</f>
        <v>1.2515234226827</v>
      </c>
      <c r="J174" s="29" t="n">
        <f aca="false">I174/$I$475</f>
        <v>0.00108182850261541</v>
      </c>
      <c r="K174" s="14" t="n">
        <f aca="false">SUM(J$6:J174)</f>
        <v>0.916743438331142</v>
      </c>
      <c r="L174" s="4" t="str">
        <f aca="false">IF(I174&lt;=0,"-",IF(K174-J174&lt;0.8,"A - top 80%",IF(K174-J174&lt;0.95,"B - next 15%","C - tail")))</f>
        <v>B - next 15%</v>
      </c>
      <c r="M174" s="16" t="n">
        <v>0</v>
      </c>
      <c r="N174" s="16" t="n">
        <v>495755.357142857</v>
      </c>
      <c r="O174" s="17" t="n">
        <f aca="false">N174-M174</f>
        <v>495755.357142857</v>
      </c>
      <c r="P174" s="14" t="str">
        <f aca="false">IF(M174&lt;1000,"new",R174)</f>
        <v>new</v>
      </c>
      <c r="Q174" s="4" t="str">
        <f aca="false">IF(LEFT(L174,1)="A",IF(R174&lt;-0.05,"2 FIX","1 PROTECT"),IF(AND(N174&gt;=300000,OR(P174="new",R174&gt;=0.25),LEFT(L174,1)&lt;&gt;"-"),"3 SCALE","4 MAINTAIN"))</f>
        <v>3 SCALE</v>
      </c>
      <c r="R174" s="14" t="n">
        <f aca="false">IF(M174&lt;1000,0,N174/M174-1)</f>
        <v>0</v>
      </c>
    </row>
    <row r="175" customFormat="false" ht="15" hidden="false" customHeight="false" outlineLevel="0" collapsed="false">
      <c r="A175" s="25" t="n">
        <f aca="false">ROW()-5</f>
        <v>170</v>
      </c>
      <c r="B175" s="4" t="s">
        <v>573</v>
      </c>
      <c r="C175" s="4" t="s">
        <v>574</v>
      </c>
      <c r="D175" s="4" t="s">
        <v>78</v>
      </c>
      <c r="E175" s="4" t="s">
        <v>157</v>
      </c>
      <c r="F175" s="16" t="n">
        <v>414498.214285714</v>
      </c>
      <c r="G175" s="14" t="n">
        <f aca="false">IF(SUMIFS(F$6:F$473,D$6:D$473,D175,E$6:E$473,E175)=0,0,F175/SUMIFS(F$6:F$473,D$6:D$473,D175,E$6:E$473,E175))</f>
        <v>0.0321040921499959</v>
      </c>
      <c r="H175" s="5" t="n">
        <f aca="false">SUMIFS(Pareto_Categories!$G$6:$G$84,Pareto_Categories!$B$6:$B$84,D175,Pareto_Categories!$C$6:$C$84,E175)</f>
        <v>38.9811115222903</v>
      </c>
      <c r="I175" s="28" t="n">
        <f aca="false">G175*H175</f>
        <v>1.25145319642088</v>
      </c>
      <c r="J175" s="29" t="n">
        <f aca="false">I175/$I$475</f>
        <v>0.00108176779838064</v>
      </c>
      <c r="K175" s="14" t="n">
        <f aca="false">SUM(J$6:J175)</f>
        <v>0.917825206129522</v>
      </c>
      <c r="L175" s="4" t="str">
        <f aca="false">IF(I175&lt;=0,"-",IF(K175-J175&lt;0.8,"A - top 80%",IF(K175-J175&lt;0.95,"B - next 15%","C - tail")))</f>
        <v>B - next 15%</v>
      </c>
      <c r="M175" s="16" t="n">
        <v>982028.571428571</v>
      </c>
      <c r="N175" s="16" t="n">
        <v>856848.214285714</v>
      </c>
      <c r="O175" s="17" t="n">
        <f aca="false">N175-M175</f>
        <v>-125180.357142857</v>
      </c>
      <c r="P175" s="14" t="n">
        <f aca="false">IF(M175&lt;1000,"new",R175)</f>
        <v>-0.127471196648337</v>
      </c>
      <c r="Q175" s="4" t="str">
        <f aca="false">IF(LEFT(L175,1)="A",IF(R175&lt;-0.05,"2 FIX","1 PROTECT"),IF(AND(N175&gt;=300000,OR(P175="new",R175&gt;=0.25),LEFT(L175,1)&lt;&gt;"-"),"3 SCALE","4 MAINTAIN"))</f>
        <v>4 MAINTAIN</v>
      </c>
      <c r="R175" s="14" t="n">
        <f aca="false">IF(M175&lt;1000,0,N175/M175-1)</f>
        <v>-0.127471196648337</v>
      </c>
    </row>
    <row r="176" customFormat="false" ht="15" hidden="false" customHeight="false" outlineLevel="0" collapsed="false">
      <c r="A176" s="25" t="n">
        <f aca="false">ROW()-5</f>
        <v>171</v>
      </c>
      <c r="B176" s="4" t="s">
        <v>575</v>
      </c>
      <c r="C176" s="4" t="s">
        <v>576</v>
      </c>
      <c r="D176" s="4" t="s">
        <v>78</v>
      </c>
      <c r="E176" s="4" t="s">
        <v>151</v>
      </c>
      <c r="F176" s="16" t="n">
        <v>357832.142857143</v>
      </c>
      <c r="G176" s="14" t="n">
        <f aca="false">IF(SUMIFS(F$6:F$473,D$6:D$473,D176,E$6:E$473,E176)=0,0,F176/SUMIFS(F$6:F$473,D$6:D$473,D176,E$6:E$473,E176))</f>
        <v>0.00624158579482452</v>
      </c>
      <c r="H176" s="5" t="n">
        <f aca="false">SUMIFS(Pareto_Categories!$G$6:$G$84,Pareto_Categories!$B$6:$B$84,D176,Pareto_Categories!$C$6:$C$84,E176)</f>
        <v>192.620734264564</v>
      </c>
      <c r="I176" s="28" t="n">
        <f aca="false">G176*H176</f>
        <v>1.20225883877437</v>
      </c>
      <c r="J176" s="29" t="n">
        <f aca="false">I176/$I$475</f>
        <v>0.00103924373745994</v>
      </c>
      <c r="K176" s="14" t="n">
        <f aca="false">SUM(J$6:J176)</f>
        <v>0.918864449866982</v>
      </c>
      <c r="L176" s="4" t="str">
        <f aca="false">IF(I176&lt;=0,"-",IF(K176-J176&lt;0.8,"A - top 80%",IF(K176-J176&lt;0.95,"B - next 15%","C - tail")))</f>
        <v>B - next 15%</v>
      </c>
      <c r="M176" s="16" t="n">
        <v>888509.598214286</v>
      </c>
      <c r="N176" s="16" t="n">
        <v>958747.098214286</v>
      </c>
      <c r="O176" s="17" t="n">
        <f aca="false">N176-M176</f>
        <v>70237.5</v>
      </c>
      <c r="P176" s="14" t="n">
        <f aca="false">IF(M176&lt;1000,"new",R176)</f>
        <v>0.0790509186858108</v>
      </c>
      <c r="Q176" s="4" t="str">
        <f aca="false">IF(LEFT(L176,1)="A",IF(R176&lt;-0.05,"2 FIX","1 PROTECT"),IF(AND(N176&gt;=300000,OR(P176="new",R176&gt;=0.25),LEFT(L176,1)&lt;&gt;"-"),"3 SCALE","4 MAINTAIN"))</f>
        <v>4 MAINTAIN</v>
      </c>
      <c r="R176" s="14" t="n">
        <f aca="false">IF(M176&lt;1000,0,N176/M176-1)</f>
        <v>0.0790509186858108</v>
      </c>
    </row>
    <row r="177" customFormat="false" ht="15" hidden="false" customHeight="false" outlineLevel="0" collapsed="false">
      <c r="A177" s="25" t="n">
        <f aca="false">ROW()-5</f>
        <v>172</v>
      </c>
      <c r="B177" s="4" t="s">
        <v>577</v>
      </c>
      <c r="C177" s="4" t="s">
        <v>578</v>
      </c>
      <c r="D177" s="4" t="s">
        <v>78</v>
      </c>
      <c r="E177" s="4" t="s">
        <v>154</v>
      </c>
      <c r="F177" s="16" t="n">
        <v>361727.035714286</v>
      </c>
      <c r="G177" s="14" t="n">
        <f aca="false">IF(SUMIFS(F$6:F$473,D$6:D$473,D177,E$6:E$473,E177)=0,0,F177/SUMIFS(F$6:F$473,D$6:D$473,D177,E$6:E$473,E177))</f>
        <v>0.00964369768975162</v>
      </c>
      <c r="H177" s="5" t="n">
        <f aca="false">SUMIFS(Pareto_Categories!$G$6:$G$84,Pareto_Categories!$B$6:$B$84,D177,Pareto_Categories!$C$6:$C$84,E177)</f>
        <v>120.122971429313</v>
      </c>
      <c r="I177" s="28" t="n">
        <f aca="false">G177*H177</f>
        <v>1.15842962205897</v>
      </c>
      <c r="J177" s="29" t="n">
        <f aca="false">I177/$I$475</f>
        <v>0.00100135735432826</v>
      </c>
      <c r="K177" s="14" t="n">
        <f aca="false">SUM(J$6:J177)</f>
        <v>0.91986580722131</v>
      </c>
      <c r="L177" s="4" t="str">
        <f aca="false">IF(I177&lt;=0,"-",IF(K177-J177&lt;0.8,"A - top 80%",IF(K177-J177&lt;0.95,"B - next 15%","C - tail")))</f>
        <v>B - next 15%</v>
      </c>
      <c r="M177" s="16" t="n">
        <v>159187.5</v>
      </c>
      <c r="N177" s="16" t="n">
        <v>736729.142857143</v>
      </c>
      <c r="O177" s="17" t="n">
        <f aca="false">N177-M177</f>
        <v>577541.642857143</v>
      </c>
      <c r="P177" s="14" t="n">
        <f aca="false">IF(M177&lt;1000,"new",R177)</f>
        <v>3.62805900499187</v>
      </c>
      <c r="Q177" s="4" t="str">
        <f aca="false">IF(LEFT(L177,1)="A",IF(R177&lt;-0.05,"2 FIX","1 PROTECT"),IF(AND(N177&gt;=300000,OR(P177="new",R177&gt;=0.25),LEFT(L177,1)&lt;&gt;"-"),"3 SCALE","4 MAINTAIN"))</f>
        <v>3 SCALE</v>
      </c>
      <c r="R177" s="14" t="n">
        <f aca="false">IF(M177&lt;1000,0,N177/M177-1)</f>
        <v>3.62805900499187</v>
      </c>
    </row>
    <row r="178" customFormat="false" ht="15" hidden="false" customHeight="false" outlineLevel="0" collapsed="false">
      <c r="A178" s="25" t="n">
        <f aca="false">ROW()-5</f>
        <v>173</v>
      </c>
      <c r="B178" s="4" t="s">
        <v>378</v>
      </c>
      <c r="C178" s="4" t="s">
        <v>379</v>
      </c>
      <c r="D178" s="4" t="s">
        <v>83</v>
      </c>
      <c r="E178" s="4" t="s">
        <v>179</v>
      </c>
      <c r="F178" s="16" t="n">
        <v>481283.035714286</v>
      </c>
      <c r="G178" s="14" t="n">
        <f aca="false">IF(SUMIFS(F$6:F$473,D$6:D$473,D178,E$6:E$473,E178)=0,0,F178/SUMIFS(F$6:F$473,D$6:D$473,D178,E$6:E$473,E178))</f>
        <v>0.0673628769047296</v>
      </c>
      <c r="H178" s="5" t="n">
        <f aca="false">SUMIFS(Pareto_Categories!$G$6:$G$84,Pareto_Categories!$B$6:$B$84,D178,Pareto_Categories!$C$6:$C$84,E178)</f>
        <v>17.1493362305561</v>
      </c>
      <c r="I178" s="28" t="n">
        <f aca="false">G178*H178</f>
        <v>1.15522862549677</v>
      </c>
      <c r="J178" s="29" t="n">
        <f aca="false">I178/$I$475</f>
        <v>0.000998590383087449</v>
      </c>
      <c r="K178" s="14" t="n">
        <f aca="false">SUM(J$6:J178)</f>
        <v>0.920864397604398</v>
      </c>
      <c r="L178" s="4" t="str">
        <f aca="false">IF(I178&lt;=0,"-",IF(K178-J178&lt;0.8,"A - top 80%",IF(K178-J178&lt;0.95,"B - next 15%","C - tail")))</f>
        <v>B - next 15%</v>
      </c>
      <c r="M178" s="16" t="n">
        <v>1537633.03571429</v>
      </c>
      <c r="N178" s="16" t="n">
        <v>1241957.14285714</v>
      </c>
      <c r="O178" s="17" t="n">
        <f aca="false">N178-M178</f>
        <v>-295675.892857142</v>
      </c>
      <c r="P178" s="14" t="n">
        <f aca="false">IF(M178&lt;1000,"new",R178)</f>
        <v>-0.192292885226539</v>
      </c>
      <c r="Q178" s="4" t="str">
        <f aca="false">IF(LEFT(L178,1)="A",IF(R178&lt;-0.05,"2 FIX","1 PROTECT"),IF(AND(N178&gt;=300000,OR(P178="new",R178&gt;=0.25),LEFT(L178,1)&lt;&gt;"-"),"3 SCALE","4 MAINTAIN"))</f>
        <v>4 MAINTAIN</v>
      </c>
      <c r="R178" s="14" t="n">
        <f aca="false">IF(M178&lt;1000,0,N178/M178-1)</f>
        <v>-0.192292885226539</v>
      </c>
    </row>
    <row r="179" customFormat="false" ht="15" hidden="false" customHeight="false" outlineLevel="0" collapsed="false">
      <c r="A179" s="25" t="n">
        <f aca="false">ROW()-5</f>
        <v>174</v>
      </c>
      <c r="B179" s="4" t="s">
        <v>579</v>
      </c>
      <c r="C179" s="4" t="s">
        <v>580</v>
      </c>
      <c r="D179" s="4" t="s">
        <v>78</v>
      </c>
      <c r="E179" s="4" t="s">
        <v>154</v>
      </c>
      <c r="F179" s="16" t="n">
        <v>354486.607142857</v>
      </c>
      <c r="G179" s="14" t="n">
        <f aca="false">IF(SUMIFS(F$6:F$473,D$6:D$473,D179,E$6:E$473,E179)=0,0,F179/SUMIFS(F$6:F$473,D$6:D$473,D179,E$6:E$473,E179))</f>
        <v>0.00945066676479126</v>
      </c>
      <c r="H179" s="5" t="n">
        <f aca="false">SUMIFS(Pareto_Categories!$G$6:$G$84,Pareto_Categories!$B$6:$B$84,D179,Pareto_Categories!$C$6:$C$84,E179)</f>
        <v>120.122971429313</v>
      </c>
      <c r="I179" s="28" t="n">
        <f aca="false">G179*H179</f>
        <v>1.13524217377498</v>
      </c>
      <c r="J179" s="29" t="n">
        <f aca="false">I179/$I$475</f>
        <v>0.000981313908075557</v>
      </c>
      <c r="K179" s="14" t="n">
        <f aca="false">SUM(J$6:J179)</f>
        <v>0.921845711512473</v>
      </c>
      <c r="L179" s="4" t="str">
        <f aca="false">IF(I179&lt;=0,"-",IF(K179-J179&lt;0.8,"A - top 80%",IF(K179-J179&lt;0.95,"B - next 15%","C - tail")))</f>
        <v>B - next 15%</v>
      </c>
      <c r="M179" s="16" t="n">
        <v>0</v>
      </c>
      <c r="N179" s="16" t="n">
        <v>354486.607142857</v>
      </c>
      <c r="O179" s="17" t="n">
        <f aca="false">N179-M179</f>
        <v>354486.607142857</v>
      </c>
      <c r="P179" s="14" t="str">
        <f aca="false">IF(M179&lt;1000,"new",R179)</f>
        <v>new</v>
      </c>
      <c r="Q179" s="4" t="str">
        <f aca="false">IF(LEFT(L179,1)="A",IF(R179&lt;-0.05,"2 FIX","1 PROTECT"),IF(AND(N179&gt;=300000,OR(P179="new",R179&gt;=0.25),LEFT(L179,1)&lt;&gt;"-"),"3 SCALE","4 MAINTAIN"))</f>
        <v>3 SCALE</v>
      </c>
      <c r="R179" s="14" t="n">
        <f aca="false">IF(M179&lt;1000,0,N179/M179-1)</f>
        <v>0</v>
      </c>
    </row>
    <row r="180" customFormat="false" ht="15" hidden="false" customHeight="false" outlineLevel="0" collapsed="false">
      <c r="A180" s="25" t="n">
        <f aca="false">ROW()-5</f>
        <v>175</v>
      </c>
      <c r="B180" s="4" t="s">
        <v>581</v>
      </c>
      <c r="C180" s="4" t="s">
        <v>582</v>
      </c>
      <c r="D180" s="4" t="s">
        <v>78</v>
      </c>
      <c r="E180" s="4" t="s">
        <v>161</v>
      </c>
      <c r="F180" s="16" t="n">
        <v>325971.428571429</v>
      </c>
      <c r="G180" s="14" t="n">
        <f aca="false">IF(SUMIFS(F$6:F$473,D$6:D$473,D180,E$6:E$473,E180)=0,0,F180/SUMIFS(F$6:F$473,D$6:D$473,D180,E$6:E$473,E180))</f>
        <v>0.0486067986858462</v>
      </c>
      <c r="H180" s="5" t="n">
        <f aca="false">SUMIFS(Pareto_Categories!$G$6:$G$84,Pareto_Categories!$B$6:$B$84,D180,Pareto_Categories!$C$6:$C$84,E180)</f>
        <v>23.2065327013405</v>
      </c>
      <c r="I180" s="28" t="n">
        <f aca="false">G180*H180</f>
        <v>1.12799526321056</v>
      </c>
      <c r="J180" s="29" t="n">
        <f aca="false">I180/$I$475</f>
        <v>0.00097504961108966</v>
      </c>
      <c r="K180" s="14" t="n">
        <f aca="false">SUM(J$6:J180)</f>
        <v>0.922820761123563</v>
      </c>
      <c r="L180" s="4" t="str">
        <f aca="false">IF(I180&lt;=0,"-",IF(K180-J180&lt;0.8,"A - top 80%",IF(K180-J180&lt;0.95,"B - next 15%","C - tail")))</f>
        <v>B - next 15%</v>
      </c>
      <c r="M180" s="16" t="n">
        <v>859858.035714286</v>
      </c>
      <c r="N180" s="16" t="n">
        <v>651209.821428571</v>
      </c>
      <c r="O180" s="17" t="n">
        <f aca="false">N180-M180</f>
        <v>-208648.214285714</v>
      </c>
      <c r="P180" s="14" t="n">
        <f aca="false">IF(M180&lt;1000,"new",R180)</f>
        <v>-0.242654258749108</v>
      </c>
      <c r="Q180" s="4" t="str">
        <f aca="false">IF(LEFT(L180,1)="A",IF(R180&lt;-0.05,"2 FIX","1 PROTECT"),IF(AND(N180&gt;=300000,OR(P180="new",R180&gt;=0.25),LEFT(L180,1)&lt;&gt;"-"),"3 SCALE","4 MAINTAIN"))</f>
        <v>4 MAINTAIN</v>
      </c>
      <c r="R180" s="14" t="n">
        <f aca="false">IF(M180&lt;1000,0,N180/M180-1)</f>
        <v>-0.242654258749108</v>
      </c>
    </row>
    <row r="181" customFormat="false" ht="15" hidden="false" customHeight="false" outlineLevel="0" collapsed="false">
      <c r="A181" s="25" t="n">
        <f aca="false">ROW()-5</f>
        <v>176</v>
      </c>
      <c r="B181" s="4" t="s">
        <v>374</v>
      </c>
      <c r="C181" s="4" t="s">
        <v>375</v>
      </c>
      <c r="D181" s="4" t="s">
        <v>83</v>
      </c>
      <c r="E181" s="4" t="s">
        <v>179</v>
      </c>
      <c r="F181" s="16" t="n">
        <v>446958.928571429</v>
      </c>
      <c r="G181" s="14" t="n">
        <f aca="false">IF(SUMIFS(F$6:F$473,D$6:D$473,D181,E$6:E$473,E181)=0,0,F181/SUMIFS(F$6:F$473,D$6:D$473,D181,E$6:E$473,E181))</f>
        <v>0.0625586963441214</v>
      </c>
      <c r="H181" s="5" t="n">
        <f aca="false">SUMIFS(Pareto_Categories!$G$6:$G$84,Pareto_Categories!$B$6:$B$84,D181,Pareto_Categories!$C$6:$C$84,E181)</f>
        <v>17.1493362305561</v>
      </c>
      <c r="I181" s="28" t="n">
        <f aca="false">G181*H181</f>
        <v>1.0728401177506</v>
      </c>
      <c r="J181" s="29" t="n">
        <f aca="false">I181/$I$475</f>
        <v>0.000927372989667274</v>
      </c>
      <c r="K181" s="14" t="n">
        <f aca="false">SUM(J$6:J181)</f>
        <v>0.92374813411323</v>
      </c>
      <c r="L181" s="4" t="str">
        <f aca="false">IF(I181&lt;=0,"-",IF(K181-J181&lt;0.8,"A - top 80%",IF(K181-J181&lt;0.95,"B - next 15%","C - tail")))</f>
        <v>B - next 15%</v>
      </c>
      <c r="M181" s="16" t="n">
        <v>749883.035714286</v>
      </c>
      <c r="N181" s="16" t="n">
        <v>833889.285714286</v>
      </c>
      <c r="O181" s="17" t="n">
        <f aca="false">N181-M181</f>
        <v>84006.25</v>
      </c>
      <c r="P181" s="14" t="n">
        <f aca="false">IF(M181&lt;1000,"new",R181)</f>
        <v>0.112025804024199</v>
      </c>
      <c r="Q181" s="4" t="str">
        <f aca="false">IF(LEFT(L181,1)="A",IF(R181&lt;-0.05,"2 FIX","1 PROTECT"),IF(AND(N181&gt;=300000,OR(P181="new",R181&gt;=0.25),LEFT(L181,1)&lt;&gt;"-"),"3 SCALE","4 MAINTAIN"))</f>
        <v>4 MAINTAIN</v>
      </c>
      <c r="R181" s="14" t="n">
        <f aca="false">IF(M181&lt;1000,0,N181/M181-1)</f>
        <v>0.112025804024199</v>
      </c>
    </row>
    <row r="182" customFormat="false" ht="15" hidden="false" customHeight="false" outlineLevel="0" collapsed="false">
      <c r="A182" s="25" t="n">
        <f aca="false">ROW()-5</f>
        <v>177</v>
      </c>
      <c r="B182" s="4" t="s">
        <v>583</v>
      </c>
      <c r="C182" s="4" t="s">
        <v>584</v>
      </c>
      <c r="D182" s="4" t="s">
        <v>78</v>
      </c>
      <c r="E182" s="4" t="s">
        <v>154</v>
      </c>
      <c r="F182" s="16" t="n">
        <v>334541.964285714</v>
      </c>
      <c r="G182" s="14" t="n">
        <f aca="false">IF(SUMIFS(F$6:F$473,D$6:D$473,D182,E$6:E$473,E182)=0,0,F182/SUMIFS(F$6:F$473,D$6:D$473,D182,E$6:E$473,E182))</f>
        <v>0.00891893955821256</v>
      </c>
      <c r="H182" s="5" t="n">
        <f aca="false">SUMIFS(Pareto_Categories!$G$6:$G$84,Pareto_Categories!$B$6:$B$84,D182,Pareto_Categories!$C$6:$C$84,E182)</f>
        <v>120.122971429313</v>
      </c>
      <c r="I182" s="28" t="n">
        <f aca="false">G182*H182</f>
        <v>1.07136952173094</v>
      </c>
      <c r="J182" s="29" t="n">
        <f aca="false">I182/$I$475</f>
        <v>0.000926101792771503</v>
      </c>
      <c r="K182" s="14" t="n">
        <f aca="false">SUM(J$6:J182)</f>
        <v>0.924674235906002</v>
      </c>
      <c r="L182" s="4" t="str">
        <f aca="false">IF(I182&lt;=0,"-",IF(K182-J182&lt;0.8,"A - top 80%",IF(K182-J182&lt;0.95,"B - next 15%","C - tail")))</f>
        <v>B - next 15%</v>
      </c>
      <c r="M182" s="16" t="n">
        <v>759470.535714286</v>
      </c>
      <c r="N182" s="16" t="n">
        <v>775101.785714286</v>
      </c>
      <c r="O182" s="17" t="n">
        <f aca="false">N182-M182</f>
        <v>15631.25</v>
      </c>
      <c r="P182" s="14" t="n">
        <f aca="false">IF(M182&lt;1000,"new",R182)</f>
        <v>0.0205817727810846</v>
      </c>
      <c r="Q182" s="4" t="str">
        <f aca="false">IF(LEFT(L182,1)="A",IF(R182&lt;-0.05,"2 FIX","1 PROTECT"),IF(AND(N182&gt;=300000,OR(P182="new",R182&gt;=0.25),LEFT(L182,1)&lt;&gt;"-"),"3 SCALE","4 MAINTAIN"))</f>
        <v>4 MAINTAIN</v>
      </c>
      <c r="R182" s="14" t="n">
        <f aca="false">IF(M182&lt;1000,0,N182/M182-1)</f>
        <v>0.0205817727810846</v>
      </c>
    </row>
    <row r="183" customFormat="false" ht="15" hidden="false" customHeight="false" outlineLevel="0" collapsed="false">
      <c r="A183" s="25" t="n">
        <f aca="false">ROW()-5</f>
        <v>178</v>
      </c>
      <c r="B183" s="4" t="s">
        <v>585</v>
      </c>
      <c r="C183" s="4" t="s">
        <v>586</v>
      </c>
      <c r="D183" s="4" t="s">
        <v>78</v>
      </c>
      <c r="E183" s="4" t="s">
        <v>165</v>
      </c>
      <c r="F183" s="16" t="n">
        <v>231921.875</v>
      </c>
      <c r="G183" s="14" t="n">
        <f aca="false">IF(SUMIFS(F$6:F$473,D$6:D$473,D183,E$6:E$473,E183)=0,0,F183/SUMIFS(F$6:F$473,D$6:D$473,D183,E$6:E$473,E183))</f>
        <v>0.0658613715171146</v>
      </c>
      <c r="H183" s="5" t="n">
        <f aca="false">SUMIFS(Pareto_Categories!$G$6:$G$84,Pareto_Categories!$B$6:$B$84,D183,Pareto_Categories!$C$6:$C$84,E183)</f>
        <v>16.2037922025372</v>
      </c>
      <c r="I183" s="28" t="n">
        <f aca="false">G183*H183</f>
        <v>1.06720397823743</v>
      </c>
      <c r="J183" s="29" t="n">
        <f aca="false">I183/$I$475</f>
        <v>0.000922501058179971</v>
      </c>
      <c r="K183" s="14" t="n">
        <f aca="false">SUM(J$6:J183)</f>
        <v>0.925596736964182</v>
      </c>
      <c r="L183" s="4" t="str">
        <f aca="false">IF(I183&lt;=0,"-",IF(K183-J183&lt;0.8,"A - top 80%",IF(K183-J183&lt;0.95,"B - next 15%","C - tail")))</f>
        <v>B - next 15%</v>
      </c>
      <c r="M183" s="16" t="n">
        <v>0</v>
      </c>
      <c r="N183" s="16" t="n">
        <v>295056.25</v>
      </c>
      <c r="O183" s="17" t="n">
        <f aca="false">N183-M183</f>
        <v>295056.25</v>
      </c>
      <c r="P183" s="14" t="str">
        <f aca="false">IF(M183&lt;1000,"new",R183)</f>
        <v>new</v>
      </c>
      <c r="Q183" s="4" t="str">
        <f aca="false">IF(LEFT(L183,1)="A",IF(R183&lt;-0.05,"2 FIX","1 PROTECT"),IF(AND(N183&gt;=300000,OR(P183="new",R183&gt;=0.25),LEFT(L183,1)&lt;&gt;"-"),"3 SCALE","4 MAINTAIN"))</f>
        <v>4 MAINTAIN</v>
      </c>
      <c r="R183" s="14" t="n">
        <f aca="false">IF(M183&lt;1000,0,N183/M183-1)</f>
        <v>0</v>
      </c>
    </row>
    <row r="184" customFormat="false" ht="15" hidden="false" customHeight="false" outlineLevel="0" collapsed="false">
      <c r="A184" s="25" t="n">
        <f aca="false">ROW()-5</f>
        <v>179</v>
      </c>
      <c r="B184" s="4" t="s">
        <v>587</v>
      </c>
      <c r="C184" s="4" t="s">
        <v>588</v>
      </c>
      <c r="D184" s="4" t="s">
        <v>78</v>
      </c>
      <c r="E184" s="4" t="s">
        <v>155</v>
      </c>
      <c r="F184" s="16" t="n">
        <v>341911.607142857</v>
      </c>
      <c r="G184" s="14" t="n">
        <f aca="false">IF(SUMIFS(F$6:F$473,D$6:D$473,D184,E$6:E$473,E184)=0,0,F184/SUMIFS(F$6:F$473,D$6:D$473,D184,E$6:E$473,E184))</f>
        <v>0.0130310263309003</v>
      </c>
      <c r="H184" s="5" t="n">
        <f aca="false">SUMIFS(Pareto_Categories!$G$6:$G$84,Pareto_Categories!$B$6:$B$84,D184,Pareto_Categories!$C$6:$C$84,E184)</f>
        <v>80.8950655838976</v>
      </c>
      <c r="I184" s="28" t="n">
        <f aca="false">G184*H184</f>
        <v>1.05414572966368</v>
      </c>
      <c r="J184" s="29" t="n">
        <f aca="false">I184/$I$475</f>
        <v>0.000911213386494981</v>
      </c>
      <c r="K184" s="14" t="n">
        <f aca="false">SUM(J$6:J184)</f>
        <v>0.926507950350677</v>
      </c>
      <c r="L184" s="4" t="str">
        <f aca="false">IF(I184&lt;=0,"-",IF(K184-J184&lt;0.8,"A - top 80%",IF(K184-J184&lt;0.95,"B - next 15%","C - tail")))</f>
        <v>B - next 15%</v>
      </c>
      <c r="M184" s="16" t="n">
        <v>721687.5</v>
      </c>
      <c r="N184" s="16" t="n">
        <v>702835.714285714</v>
      </c>
      <c r="O184" s="17" t="n">
        <f aca="false">N184-M184</f>
        <v>-18851.7857142858</v>
      </c>
      <c r="P184" s="14" t="n">
        <f aca="false">IF(M184&lt;1000,"new",R184)</f>
        <v>-0.0261218127157333</v>
      </c>
      <c r="Q184" s="4" t="str">
        <f aca="false">IF(LEFT(L184,1)="A",IF(R184&lt;-0.05,"2 FIX","1 PROTECT"),IF(AND(N184&gt;=300000,OR(P184="new",R184&gt;=0.25),LEFT(L184,1)&lt;&gt;"-"),"3 SCALE","4 MAINTAIN"))</f>
        <v>4 MAINTAIN</v>
      </c>
      <c r="R184" s="14" t="n">
        <f aca="false">IF(M184&lt;1000,0,N184/M184-1)</f>
        <v>-0.0261218127157333</v>
      </c>
    </row>
    <row r="185" customFormat="false" ht="15" hidden="false" customHeight="false" outlineLevel="0" collapsed="false">
      <c r="A185" s="25" t="n">
        <f aca="false">ROW()-5</f>
        <v>180</v>
      </c>
      <c r="B185" s="4" t="s">
        <v>589</v>
      </c>
      <c r="C185" s="4" t="s">
        <v>590</v>
      </c>
      <c r="D185" s="4" t="s">
        <v>78</v>
      </c>
      <c r="E185" s="4" t="s">
        <v>166</v>
      </c>
      <c r="F185" s="16" t="n">
        <v>256006.25</v>
      </c>
      <c r="G185" s="14" t="n">
        <f aca="false">IF(SUMIFS(F$6:F$473,D$6:D$473,D185,E$6:E$473,E185)=0,0,F185/SUMIFS(F$6:F$473,D$6:D$473,D185,E$6:E$473,E185))</f>
        <v>0.0754302490612239</v>
      </c>
      <c r="H185" s="5" t="n">
        <f aca="false">SUMIFS(Pareto_Categories!$G$6:$G$84,Pareto_Categories!$B$6:$B$84,D185,Pareto_Categories!$C$6:$C$84,E185)</f>
        <v>13.503490691206</v>
      </c>
      <c r="I185" s="28" t="n">
        <f aca="false">G185*H185</f>
        <v>1.01857166603358</v>
      </c>
      <c r="J185" s="29" t="n">
        <f aca="false">I185/$I$475</f>
        <v>0.000880462834574508</v>
      </c>
      <c r="K185" s="14" t="n">
        <f aca="false">SUM(J$6:J185)</f>
        <v>0.927388413185251</v>
      </c>
      <c r="L185" s="4" t="str">
        <f aca="false">IF(I185&lt;=0,"-",IF(K185-J185&lt;0.8,"A - top 80%",IF(K185-J185&lt;0.95,"B - next 15%","C - tail")))</f>
        <v>B - next 15%</v>
      </c>
      <c r="M185" s="16" t="n">
        <v>469985.008928571</v>
      </c>
      <c r="N185" s="16" t="n">
        <v>514730.544642857</v>
      </c>
      <c r="O185" s="17" t="n">
        <f aca="false">N185-M185</f>
        <v>44745.5357142857</v>
      </c>
      <c r="P185" s="14" t="n">
        <f aca="false">IF(M185&lt;1000,"new",R185)</f>
        <v>0.0952063041676423</v>
      </c>
      <c r="Q185" s="4" t="str">
        <f aca="false">IF(LEFT(L185,1)="A",IF(R185&lt;-0.05,"2 FIX","1 PROTECT"),IF(AND(N185&gt;=300000,OR(P185="new",R185&gt;=0.25),LEFT(L185,1)&lt;&gt;"-"),"3 SCALE","4 MAINTAIN"))</f>
        <v>4 MAINTAIN</v>
      </c>
      <c r="R185" s="14" t="n">
        <f aca="false">IF(M185&lt;1000,0,N185/M185-1)</f>
        <v>0.0952063041676423</v>
      </c>
    </row>
    <row r="186" customFormat="false" ht="15" hidden="false" customHeight="false" outlineLevel="0" collapsed="false">
      <c r="A186" s="25" t="n">
        <f aca="false">ROW()-5</f>
        <v>181</v>
      </c>
      <c r="B186" s="4" t="s">
        <v>591</v>
      </c>
      <c r="C186" s="4" t="s">
        <v>592</v>
      </c>
      <c r="D186" s="4" t="s">
        <v>78</v>
      </c>
      <c r="E186" s="4" t="s">
        <v>151</v>
      </c>
      <c r="F186" s="16" t="n">
        <v>301797.321428571</v>
      </c>
      <c r="G186" s="14" t="n">
        <f aca="false">IF(SUMIFS(F$6:F$473,D$6:D$473,D186,E$6:E$473,E186)=0,0,F186/SUMIFS(F$6:F$473,D$6:D$473,D186,E$6:E$473,E186))</f>
        <v>0.00526418297502326</v>
      </c>
      <c r="H186" s="5" t="n">
        <f aca="false">SUMIFS(Pareto_Categories!$G$6:$G$84,Pareto_Categories!$B$6:$B$84,D186,Pareto_Categories!$C$6:$C$84,E186)</f>
        <v>192.620734264564</v>
      </c>
      <c r="I186" s="28" t="n">
        <f aca="false">G186*H186</f>
        <v>1.01399078995199</v>
      </c>
      <c r="J186" s="29" t="n">
        <f aca="false">I186/$I$475</f>
        <v>0.000876503082625648</v>
      </c>
      <c r="K186" s="14" t="n">
        <f aca="false">SUM(J$6:J186)</f>
        <v>0.928264916267877</v>
      </c>
      <c r="L186" s="4" t="str">
        <f aca="false">IF(I186&lt;=0,"-",IF(K186-J186&lt;0.8,"A - top 80%",IF(K186-J186&lt;0.95,"B - next 15%","C - tail")))</f>
        <v>B - next 15%</v>
      </c>
      <c r="M186" s="16" t="n">
        <v>514531.25</v>
      </c>
      <c r="N186" s="16" t="n">
        <v>616627.678571429</v>
      </c>
      <c r="O186" s="17" t="n">
        <f aca="false">N186-M186</f>
        <v>102096.428571429</v>
      </c>
      <c r="P186" s="14" t="n">
        <f aca="false">IF(M186&lt;1000,"new",R186)</f>
        <v>0.198426098650818</v>
      </c>
      <c r="Q186" s="4" t="str">
        <f aca="false">IF(LEFT(L186,1)="A",IF(R186&lt;-0.05,"2 FIX","1 PROTECT"),IF(AND(N186&gt;=300000,OR(P186="new",R186&gt;=0.25),LEFT(L186,1)&lt;&gt;"-"),"3 SCALE","4 MAINTAIN"))</f>
        <v>4 MAINTAIN</v>
      </c>
      <c r="R186" s="14" t="n">
        <f aca="false">IF(M186&lt;1000,0,N186/M186-1)</f>
        <v>0.198426098650818</v>
      </c>
    </row>
    <row r="187" customFormat="false" ht="15" hidden="false" customHeight="false" outlineLevel="0" collapsed="false">
      <c r="A187" s="25" t="n">
        <f aca="false">ROW()-5</f>
        <v>182</v>
      </c>
      <c r="B187" s="4" t="s">
        <v>593</v>
      </c>
      <c r="C187" s="4" t="s">
        <v>594</v>
      </c>
      <c r="D187" s="4" t="s">
        <v>78</v>
      </c>
      <c r="E187" s="4" t="s">
        <v>152</v>
      </c>
      <c r="F187" s="16" t="n">
        <v>279752.678571429</v>
      </c>
      <c r="G187" s="14" t="n">
        <f aca="false">IF(SUMIFS(F$6:F$473,D$6:D$473,D187,E$6:E$473,E187)=0,0,F187/SUMIFS(F$6:F$473,D$6:D$473,D187,E$6:E$473,E187))</f>
        <v>0.00577179105982625</v>
      </c>
      <c r="H187" s="5" t="n">
        <f aca="false">SUMIFS(Pareto_Categories!$G$6:$G$84,Pareto_Categories!$B$6:$B$84,D187,Pareto_Categories!$C$6:$C$84,E187)</f>
        <v>175.162640843516</v>
      </c>
      <c r="I187" s="28" t="n">
        <f aca="false">G187*H187</f>
        <v>1.01100216443616</v>
      </c>
      <c r="J187" s="29" t="n">
        <f aca="false">I187/$I$475</f>
        <v>0.000873919686895236</v>
      </c>
      <c r="K187" s="14" t="n">
        <f aca="false">SUM(J$6:J187)</f>
        <v>0.929138835954772</v>
      </c>
      <c r="L187" s="4" t="str">
        <f aca="false">IF(I187&lt;=0,"-",IF(K187-J187&lt;0.8,"A - top 80%",IF(K187-J187&lt;0.95,"B - next 15%","C - tail")))</f>
        <v>B - next 15%</v>
      </c>
      <c r="M187" s="16" t="n">
        <v>0</v>
      </c>
      <c r="N187" s="16" t="n">
        <v>279752.678571429</v>
      </c>
      <c r="O187" s="17" t="n">
        <f aca="false">N187-M187</f>
        <v>279752.678571429</v>
      </c>
      <c r="P187" s="14" t="str">
        <f aca="false">IF(M187&lt;1000,"new",R187)</f>
        <v>new</v>
      </c>
      <c r="Q187" s="4" t="str">
        <f aca="false">IF(LEFT(L187,1)="A",IF(R187&lt;-0.05,"2 FIX","1 PROTECT"),IF(AND(N187&gt;=300000,OR(P187="new",R187&gt;=0.25),LEFT(L187,1)&lt;&gt;"-"),"3 SCALE","4 MAINTAIN"))</f>
        <v>4 MAINTAIN</v>
      </c>
      <c r="R187" s="14" t="n">
        <f aca="false">IF(M187&lt;1000,0,N187/M187-1)</f>
        <v>0</v>
      </c>
    </row>
    <row r="188" customFormat="false" ht="15" hidden="false" customHeight="false" outlineLevel="0" collapsed="false">
      <c r="A188" s="25" t="n">
        <f aca="false">ROW()-5</f>
        <v>183</v>
      </c>
      <c r="B188" s="4" t="s">
        <v>595</v>
      </c>
      <c r="C188" s="4" t="s">
        <v>596</v>
      </c>
      <c r="D188" s="4" t="s">
        <v>78</v>
      </c>
      <c r="E188" s="4" t="s">
        <v>154</v>
      </c>
      <c r="F188" s="16" t="n">
        <v>312287.5</v>
      </c>
      <c r="G188" s="14" t="n">
        <f aca="false">IF(SUMIFS(F$6:F$473,D$6:D$473,D188,E$6:E$473,E188)=0,0,F188/SUMIFS(F$6:F$473,D$6:D$473,D188,E$6:E$473,E188))</f>
        <v>0.00832563216166972</v>
      </c>
      <c r="H188" s="5" t="n">
        <f aca="false">SUMIFS(Pareto_Categories!$G$6:$G$84,Pareto_Categories!$B$6:$B$84,D188,Pareto_Categories!$C$6:$C$84,E188)</f>
        <v>120.122971429313</v>
      </c>
      <c r="I188" s="28" t="n">
        <f aca="false">G188*H188</f>
        <v>1.00009967428722</v>
      </c>
      <c r="J188" s="29" t="n">
        <f aca="false">I188/$I$475</f>
        <v>0.00086449547287028</v>
      </c>
      <c r="K188" s="14" t="n">
        <f aca="false">SUM(J$6:J188)</f>
        <v>0.930003331427643</v>
      </c>
      <c r="L188" s="4" t="str">
        <f aca="false">IF(I188&lt;=0,"-",IF(K188-J188&lt;0.8,"A - top 80%",IF(K188-J188&lt;0.95,"B - next 15%","C - tail")))</f>
        <v>B - next 15%</v>
      </c>
      <c r="M188" s="16" t="n">
        <v>0</v>
      </c>
      <c r="N188" s="16" t="n">
        <v>312287.5</v>
      </c>
      <c r="O188" s="17" t="n">
        <f aca="false">N188-M188</f>
        <v>312287.5</v>
      </c>
      <c r="P188" s="14" t="str">
        <f aca="false">IF(M188&lt;1000,"new",R188)</f>
        <v>new</v>
      </c>
      <c r="Q188" s="4" t="str">
        <f aca="false">IF(LEFT(L188,1)="A",IF(R188&lt;-0.05,"2 FIX","1 PROTECT"),IF(AND(N188&gt;=300000,OR(P188="new",R188&gt;=0.25),LEFT(L188,1)&lt;&gt;"-"),"3 SCALE","4 MAINTAIN"))</f>
        <v>3 SCALE</v>
      </c>
      <c r="R188" s="14" t="n">
        <f aca="false">IF(M188&lt;1000,0,N188/M188-1)</f>
        <v>0</v>
      </c>
    </row>
    <row r="189" customFormat="false" ht="15" hidden="false" customHeight="false" outlineLevel="0" collapsed="false">
      <c r="A189" s="25" t="n">
        <f aca="false">ROW()-5</f>
        <v>184</v>
      </c>
      <c r="B189" s="4" t="s">
        <v>597</v>
      </c>
      <c r="C189" s="4" t="s">
        <v>598</v>
      </c>
      <c r="D189" s="4" t="s">
        <v>78</v>
      </c>
      <c r="E189" s="4" t="s">
        <v>154</v>
      </c>
      <c r="F189" s="16" t="n">
        <v>310821.428571429</v>
      </c>
      <c r="G189" s="14" t="n">
        <f aca="false">IF(SUMIFS(F$6:F$473,D$6:D$473,D189,E$6:E$473,E189)=0,0,F189/SUMIFS(F$6:F$473,D$6:D$473,D189,E$6:E$473,E189))</f>
        <v>0.00828654647480419</v>
      </c>
      <c r="H189" s="5" t="n">
        <f aca="false">SUMIFS(Pareto_Categories!$G$6:$G$84,Pareto_Categories!$B$6:$B$84,D189,Pareto_Categories!$C$6:$C$84,E189)</f>
        <v>120.122971429313</v>
      </c>
      <c r="I189" s="28" t="n">
        <f aca="false">G189*H189</f>
        <v>0.99540458544058</v>
      </c>
      <c r="J189" s="29" t="n">
        <f aca="false">I189/$I$475</f>
        <v>0.000860436994343587</v>
      </c>
      <c r="K189" s="14" t="n">
        <f aca="false">SUM(J$6:J189)</f>
        <v>0.930863768421986</v>
      </c>
      <c r="L189" s="4" t="str">
        <f aca="false">IF(I189&lt;=0,"-",IF(K189-J189&lt;0.8,"A - top 80%",IF(K189-J189&lt;0.95,"B - next 15%","C - tail")))</f>
        <v>B - next 15%</v>
      </c>
      <c r="M189" s="16" t="n">
        <v>0</v>
      </c>
      <c r="N189" s="16" t="n">
        <v>310821.428571429</v>
      </c>
      <c r="O189" s="17" t="n">
        <f aca="false">N189-M189</f>
        <v>310821.428571429</v>
      </c>
      <c r="P189" s="14" t="str">
        <f aca="false">IF(M189&lt;1000,"new",R189)</f>
        <v>new</v>
      </c>
      <c r="Q189" s="4" t="str">
        <f aca="false">IF(LEFT(L189,1)="A",IF(R189&lt;-0.05,"2 FIX","1 PROTECT"),IF(AND(N189&gt;=300000,OR(P189="new",R189&gt;=0.25),LEFT(L189,1)&lt;&gt;"-"),"3 SCALE","4 MAINTAIN"))</f>
        <v>3 SCALE</v>
      </c>
      <c r="R189" s="14" t="n">
        <f aca="false">IF(M189&lt;1000,0,N189/M189-1)</f>
        <v>0</v>
      </c>
    </row>
    <row r="190" customFormat="false" ht="15" hidden="false" customHeight="false" outlineLevel="0" collapsed="false">
      <c r="A190" s="25" t="n">
        <f aca="false">ROW()-5</f>
        <v>185</v>
      </c>
      <c r="B190" s="4" t="s">
        <v>599</v>
      </c>
      <c r="C190" s="4" t="s">
        <v>600</v>
      </c>
      <c r="D190" s="4" t="s">
        <v>78</v>
      </c>
      <c r="E190" s="4" t="s">
        <v>154</v>
      </c>
      <c r="F190" s="16" t="n">
        <v>309598.214285714</v>
      </c>
      <c r="G190" s="14" t="n">
        <f aca="false">IF(SUMIFS(F$6:F$473,D$6:D$473,D190,E$6:E$473,E190)=0,0,F190/SUMIFS(F$6:F$473,D$6:D$473,D190,E$6:E$473,E190))</f>
        <v>0.00825393539623794</v>
      </c>
      <c r="H190" s="5" t="n">
        <f aca="false">SUMIFS(Pareto_Categories!$G$6:$G$84,Pareto_Categories!$B$6:$B$84,D190,Pareto_Categories!$C$6:$C$84,E190)</f>
        <v>120.122971429313</v>
      </c>
      <c r="I190" s="28" t="n">
        <f aca="false">G190*H190</f>
        <v>0.991487245781688</v>
      </c>
      <c r="J190" s="29" t="n">
        <f aca="false">I190/$I$475</f>
        <v>0.000857050809458345</v>
      </c>
      <c r="K190" s="14" t="n">
        <f aca="false">SUM(J$6:J190)</f>
        <v>0.931720819231444</v>
      </c>
      <c r="L190" s="4" t="str">
        <f aca="false">IF(I190&lt;=0,"-",IF(K190-J190&lt;0.8,"A - top 80%",IF(K190-J190&lt;0.95,"B - next 15%","C - tail")))</f>
        <v>B - next 15%</v>
      </c>
      <c r="M190" s="16" t="n">
        <v>969995.214285714</v>
      </c>
      <c r="N190" s="16" t="n">
        <v>737346.928571429</v>
      </c>
      <c r="O190" s="17" t="n">
        <f aca="false">N190-M190</f>
        <v>-232648.285714286</v>
      </c>
      <c r="P190" s="14" t="n">
        <f aca="false">IF(M190&lt;1000,"new",R190)</f>
        <v>-0.23984477684831</v>
      </c>
      <c r="Q190" s="4" t="str">
        <f aca="false">IF(LEFT(L190,1)="A",IF(R190&lt;-0.05,"2 FIX","1 PROTECT"),IF(AND(N190&gt;=300000,OR(P190="new",R190&gt;=0.25),LEFT(L190,1)&lt;&gt;"-"),"3 SCALE","4 MAINTAIN"))</f>
        <v>4 MAINTAIN</v>
      </c>
      <c r="R190" s="14" t="n">
        <f aca="false">IF(M190&lt;1000,0,N190/M190-1)</f>
        <v>-0.23984477684831</v>
      </c>
    </row>
    <row r="191" customFormat="false" ht="15" hidden="false" customHeight="false" outlineLevel="0" collapsed="false">
      <c r="A191" s="25" t="n">
        <f aca="false">ROW()-5</f>
        <v>186</v>
      </c>
      <c r="B191" s="4" t="s">
        <v>601</v>
      </c>
      <c r="C191" s="4" t="s">
        <v>602</v>
      </c>
      <c r="D191" s="4" t="s">
        <v>78</v>
      </c>
      <c r="E191" s="4" t="s">
        <v>161</v>
      </c>
      <c r="F191" s="16" t="n">
        <v>282978.794642857</v>
      </c>
      <c r="G191" s="14" t="n">
        <f aca="false">IF(SUMIFS(F$6:F$473,D$6:D$473,D191,E$6:E$473,E191)=0,0,F191/SUMIFS(F$6:F$473,D$6:D$473,D191,E$6:E$473,E191))</f>
        <v>0.0421960089074334</v>
      </c>
      <c r="H191" s="5" t="n">
        <f aca="false">SUMIFS(Pareto_Categories!$G$6:$G$84,Pareto_Categories!$B$6:$B$84,D191,Pareto_Categories!$C$6:$C$84,E191)</f>
        <v>23.2065327013405</v>
      </c>
      <c r="I191" s="28" t="n">
        <f aca="false">G191*H191</f>
        <v>0.979223060576407</v>
      </c>
      <c r="J191" s="29" t="n">
        <f aca="false">I191/$I$475</f>
        <v>0.000846449533544557</v>
      </c>
      <c r="K191" s="14" t="n">
        <f aca="false">SUM(J$6:J191)</f>
        <v>0.932567268764989</v>
      </c>
      <c r="L191" s="4" t="str">
        <f aca="false">IF(I191&lt;=0,"-",IF(K191-J191&lt;0.8,"A - top 80%",IF(K191-J191&lt;0.95,"B - next 15%","C - tail")))</f>
        <v>B - next 15%</v>
      </c>
      <c r="M191" s="16" t="n">
        <v>417444.642857143</v>
      </c>
      <c r="N191" s="16" t="n">
        <v>567637.723214286</v>
      </c>
      <c r="O191" s="17" t="n">
        <f aca="false">N191-M191</f>
        <v>150193.080357143</v>
      </c>
      <c r="P191" s="14" t="n">
        <f aca="false">IF(M191&lt;1000,"new",R191)</f>
        <v>0.359791610521498</v>
      </c>
      <c r="Q191" s="4" t="str">
        <f aca="false">IF(LEFT(L191,1)="A",IF(R191&lt;-0.05,"2 FIX","1 PROTECT"),IF(AND(N191&gt;=300000,OR(P191="new",R191&gt;=0.25),LEFT(L191,1)&lt;&gt;"-"),"3 SCALE","4 MAINTAIN"))</f>
        <v>3 SCALE</v>
      </c>
      <c r="R191" s="14" t="n">
        <f aca="false">IF(M191&lt;1000,0,N191/M191-1)</f>
        <v>0.359791610521498</v>
      </c>
    </row>
    <row r="192" customFormat="false" ht="15" hidden="false" customHeight="false" outlineLevel="0" collapsed="false">
      <c r="A192" s="25" t="n">
        <f aca="false">ROW()-5</f>
        <v>187</v>
      </c>
      <c r="B192" s="4" t="s">
        <v>603</v>
      </c>
      <c r="C192" s="4" t="s">
        <v>371</v>
      </c>
      <c r="D192" s="4" t="s">
        <v>78</v>
      </c>
      <c r="E192" s="4" t="s">
        <v>161</v>
      </c>
      <c r="F192" s="16" t="n">
        <v>275466.071428571</v>
      </c>
      <c r="G192" s="14" t="n">
        <f aca="false">IF(SUMIFS(F$6:F$473,D$6:D$473,D192,E$6:E$473,E192)=0,0,F192/SUMIFS(F$6:F$473,D$6:D$473,D192,E$6:E$473,E192))</f>
        <v>0.0410757591160341</v>
      </c>
      <c r="H192" s="5" t="n">
        <f aca="false">SUMIFS(Pareto_Categories!$G$6:$G$84,Pareto_Categories!$B$6:$B$84,D192,Pareto_Categories!$C$6:$C$84,E192)</f>
        <v>23.2065327013405</v>
      </c>
      <c r="I192" s="28" t="n">
        <f aca="false">G192*H192</f>
        <v>0.95322594715863</v>
      </c>
      <c r="J192" s="29" t="n">
        <f aca="false">I192/$I$475</f>
        <v>0.000823977386582424</v>
      </c>
      <c r="K192" s="14" t="n">
        <f aca="false">SUM(J$6:J192)</f>
        <v>0.933391246151571</v>
      </c>
      <c r="L192" s="4" t="str">
        <f aca="false">IF(I192&lt;=0,"-",IF(K192-J192&lt;0.8,"A - top 80%",IF(K192-J192&lt;0.95,"B - next 15%","C - tail")))</f>
        <v>B - next 15%</v>
      </c>
      <c r="M192" s="16" t="n">
        <v>712239.794642857</v>
      </c>
      <c r="N192" s="16" t="n">
        <v>629798.214285714</v>
      </c>
      <c r="O192" s="17" t="n">
        <f aca="false">N192-M192</f>
        <v>-82441.5803571427</v>
      </c>
      <c r="P192" s="14" t="n">
        <f aca="false">IF(M192&lt;1000,"new",R192)</f>
        <v>-0.115749753070849</v>
      </c>
      <c r="Q192" s="4" t="str">
        <f aca="false">IF(LEFT(L192,1)="A",IF(R192&lt;-0.05,"2 FIX","1 PROTECT"),IF(AND(N192&gt;=300000,OR(P192="new",R192&gt;=0.25),LEFT(L192,1)&lt;&gt;"-"),"3 SCALE","4 MAINTAIN"))</f>
        <v>4 MAINTAIN</v>
      </c>
      <c r="R192" s="14" t="n">
        <f aca="false">IF(M192&lt;1000,0,N192/M192-1)</f>
        <v>-0.115749753070849</v>
      </c>
    </row>
    <row r="193" customFormat="false" ht="15" hidden="false" customHeight="false" outlineLevel="0" collapsed="false">
      <c r="A193" s="25" t="n">
        <f aca="false">ROW()-5</f>
        <v>188</v>
      </c>
      <c r="B193" s="4" t="s">
        <v>604</v>
      </c>
      <c r="C193" s="4" t="s">
        <v>605</v>
      </c>
      <c r="D193" s="4" t="s">
        <v>78</v>
      </c>
      <c r="E193" s="4" t="s">
        <v>153</v>
      </c>
      <c r="F193" s="16" t="n">
        <v>211045.535714286</v>
      </c>
      <c r="G193" s="14" t="n">
        <f aca="false">IF(SUMIFS(F$6:F$473,D$6:D$473,D193,E$6:E$473,E193)=0,0,F193/SUMIFS(F$6:F$473,D$6:D$473,D193,E$6:E$473,E193))</f>
        <v>0.0062506358055345</v>
      </c>
      <c r="H193" s="5" t="n">
        <f aca="false">SUMIFS(Pareto_Categories!$G$6:$G$84,Pareto_Categories!$B$6:$B$84,D193,Pareto_Categories!$C$6:$C$84,E193)</f>
        <v>152.006736079647</v>
      </c>
      <c r="I193" s="28" t="n">
        <f aca="false">G193*H193</f>
        <v>0.950138747221873</v>
      </c>
      <c r="J193" s="29" t="n">
        <f aca="false">I193/$I$475</f>
        <v>0.000821308782204492</v>
      </c>
      <c r="K193" s="14" t="n">
        <f aca="false">SUM(J$6:J193)</f>
        <v>0.934212554933776</v>
      </c>
      <c r="L193" s="4" t="str">
        <f aca="false">IF(I193&lt;=0,"-",IF(K193-J193&lt;0.8,"A - top 80%",IF(K193-J193&lt;0.95,"B - next 15%","C - tail")))</f>
        <v>B - next 15%</v>
      </c>
      <c r="M193" s="16" t="n">
        <v>369707.017857143</v>
      </c>
      <c r="N193" s="16" t="n">
        <v>434624.107142857</v>
      </c>
      <c r="O193" s="17" t="n">
        <f aca="false">N193-M193</f>
        <v>64917.0892857143</v>
      </c>
      <c r="P193" s="14" t="n">
        <f aca="false">IF(M193&lt;1000,"new",R193)</f>
        <v>0.175590632988197</v>
      </c>
      <c r="Q193" s="4" t="str">
        <f aca="false">IF(LEFT(L193,1)="A",IF(R193&lt;-0.05,"2 FIX","1 PROTECT"),IF(AND(N193&gt;=300000,OR(P193="new",R193&gt;=0.25),LEFT(L193,1)&lt;&gt;"-"),"3 SCALE","4 MAINTAIN"))</f>
        <v>4 MAINTAIN</v>
      </c>
      <c r="R193" s="14" t="n">
        <f aca="false">IF(M193&lt;1000,0,N193/M193-1)</f>
        <v>0.175590632988197</v>
      </c>
    </row>
    <row r="194" customFormat="false" ht="15" hidden="false" customHeight="false" outlineLevel="0" collapsed="false">
      <c r="A194" s="25" t="n">
        <f aca="false">ROW()-5</f>
        <v>189</v>
      </c>
      <c r="B194" s="4" t="s">
        <v>606</v>
      </c>
      <c r="C194" s="4" t="s">
        <v>607</v>
      </c>
      <c r="D194" s="4" t="s">
        <v>78</v>
      </c>
      <c r="E194" s="4" t="s">
        <v>164</v>
      </c>
      <c r="F194" s="16" t="n">
        <v>233363.392857143</v>
      </c>
      <c r="G194" s="14" t="n">
        <f aca="false">IF(SUMIFS(F$6:F$473,D$6:D$473,D194,E$6:E$473,E194)=0,0,F194/SUMIFS(F$6:F$473,D$6:D$473,D194,E$6:E$473,E194))</f>
        <v>0.0630957172413449</v>
      </c>
      <c r="H194" s="5" t="n">
        <f aca="false">SUMIFS(Pareto_Categories!$G$6:$G$84,Pareto_Categories!$B$6:$B$84,D194,Pareto_Categories!$C$6:$C$84,E194)</f>
        <v>14.7308286998894</v>
      </c>
      <c r="I194" s="28" t="n">
        <f aca="false">G194*H194</f>
        <v>0.929452202378911</v>
      </c>
      <c r="J194" s="29" t="n">
        <f aca="false">I194/$I$475</f>
        <v>0.000803427140178347</v>
      </c>
      <c r="K194" s="14" t="n">
        <f aca="false">SUM(J$6:J194)</f>
        <v>0.935015982073954</v>
      </c>
      <c r="L194" s="4" t="str">
        <f aca="false">IF(I194&lt;=0,"-",IF(K194-J194&lt;0.8,"A - top 80%",IF(K194-J194&lt;0.95,"B - next 15%","C - tail")))</f>
        <v>B - next 15%</v>
      </c>
      <c r="M194" s="16" t="n">
        <v>428241.964285714</v>
      </c>
      <c r="N194" s="16" t="n">
        <v>525858.928571429</v>
      </c>
      <c r="O194" s="17" t="n">
        <f aca="false">N194-M194</f>
        <v>97616.9642857142</v>
      </c>
      <c r="P194" s="14" t="n">
        <f aca="false">IF(M194&lt;1000,"new",R194)</f>
        <v>0.227948151808369</v>
      </c>
      <c r="Q194" s="4" t="str">
        <f aca="false">IF(LEFT(L194,1)="A",IF(R194&lt;-0.05,"2 FIX","1 PROTECT"),IF(AND(N194&gt;=300000,OR(P194="new",R194&gt;=0.25),LEFT(L194,1)&lt;&gt;"-"),"3 SCALE","4 MAINTAIN"))</f>
        <v>4 MAINTAIN</v>
      </c>
      <c r="R194" s="14" t="n">
        <f aca="false">IF(M194&lt;1000,0,N194/M194-1)</f>
        <v>0.227948151808369</v>
      </c>
    </row>
    <row r="195" customFormat="false" ht="15" hidden="false" customHeight="false" outlineLevel="0" collapsed="false">
      <c r="A195" s="25" t="n">
        <f aca="false">ROW()-5</f>
        <v>190</v>
      </c>
      <c r="B195" s="4" t="s">
        <v>608</v>
      </c>
      <c r="C195" s="4" t="s">
        <v>609</v>
      </c>
      <c r="D195" s="4" t="s">
        <v>78</v>
      </c>
      <c r="E195" s="4" t="s">
        <v>163</v>
      </c>
      <c r="F195" s="16" t="n">
        <v>301650</v>
      </c>
      <c r="G195" s="14" t="n">
        <f aca="false">IF(SUMIFS(F$6:F$473,D$6:D$473,D195,E$6:E$473,E195)=0,0,F195/SUMIFS(F$6:F$473,D$6:D$473,D195,E$6:E$473,E195))</f>
        <v>0.044560483023776</v>
      </c>
      <c r="H195" s="5" t="n">
        <f aca="false">SUMIFS(Pareto_Categories!$G$6:$G$84,Pareto_Categories!$B$6:$B$84,D195,Pareto_Categories!$C$6:$C$84,E195)</f>
        <v>20.2211384933392</v>
      </c>
      <c r="I195" s="28" t="n">
        <f aca="false">G195*H195</f>
        <v>0.901063698553864</v>
      </c>
      <c r="J195" s="29" t="n">
        <f aca="false">I195/$I$475</f>
        <v>0.000778887853075984</v>
      </c>
      <c r="K195" s="14" t="n">
        <f aca="false">SUM(J$6:J195)</f>
        <v>0.93579486992703</v>
      </c>
      <c r="L195" s="4" t="str">
        <f aca="false">IF(I195&lt;=0,"-",IF(K195-J195&lt;0.8,"A - top 80%",IF(K195-J195&lt;0.95,"B - next 15%","C - tail")))</f>
        <v>B - next 15%</v>
      </c>
      <c r="M195" s="16" t="n">
        <v>738775</v>
      </c>
      <c r="N195" s="16" t="n">
        <v>627151.785714286</v>
      </c>
      <c r="O195" s="17" t="n">
        <f aca="false">N195-M195</f>
        <v>-111623.214285714</v>
      </c>
      <c r="P195" s="14" t="n">
        <f aca="false">IF(M195&lt;1000,"new",R195)</f>
        <v>-0.151092300478108</v>
      </c>
      <c r="Q195" s="4" t="str">
        <f aca="false">IF(LEFT(L195,1)="A",IF(R195&lt;-0.05,"2 FIX","1 PROTECT"),IF(AND(N195&gt;=300000,OR(P195="new",R195&gt;=0.25),LEFT(L195,1)&lt;&gt;"-"),"3 SCALE","4 MAINTAIN"))</f>
        <v>4 MAINTAIN</v>
      </c>
      <c r="R195" s="14" t="n">
        <f aca="false">IF(M195&lt;1000,0,N195/M195-1)</f>
        <v>-0.151092300478108</v>
      </c>
    </row>
    <row r="196" customFormat="false" ht="15" hidden="false" customHeight="false" outlineLevel="0" collapsed="false">
      <c r="A196" s="25" t="n">
        <f aca="false">ROW()-5</f>
        <v>191</v>
      </c>
      <c r="B196" s="4" t="s">
        <v>610</v>
      </c>
      <c r="C196" s="4" t="s">
        <v>611</v>
      </c>
      <c r="D196" s="4" t="s">
        <v>78</v>
      </c>
      <c r="E196" s="4" t="s">
        <v>151</v>
      </c>
      <c r="F196" s="16" t="n">
        <v>267483.035714286</v>
      </c>
      <c r="G196" s="14" t="n">
        <f aca="false">IF(SUMIFS(F$6:F$473,D$6:D$473,D196,E$6:E$473,E196)=0,0,F196/SUMIFS(F$6:F$473,D$6:D$473,D196,E$6:E$473,E196))</f>
        <v>0.00466564658708524</v>
      </c>
      <c r="H196" s="5" t="n">
        <f aca="false">SUMIFS(Pareto_Categories!$G$6:$G$84,Pareto_Categories!$B$6:$B$84,D196,Pareto_Categories!$C$6:$C$84,E196)</f>
        <v>192.620734264564</v>
      </c>
      <c r="I196" s="28" t="n">
        <f aca="false">G196*H196</f>
        <v>0.898700271423313</v>
      </c>
      <c r="J196" s="29" t="n">
        <f aca="false">I196/$I$475</f>
        <v>0.000776844884652585</v>
      </c>
      <c r="K196" s="14" t="n">
        <f aca="false">SUM(J$6:J196)</f>
        <v>0.936571714811683</v>
      </c>
      <c r="L196" s="4" t="str">
        <f aca="false">IF(I196&lt;=0,"-",IF(K196-J196&lt;0.8,"A - top 80%",IF(K196-J196&lt;0.95,"B - next 15%","C - tail")))</f>
        <v>B - next 15%</v>
      </c>
      <c r="M196" s="16" t="n">
        <v>1303376.84821429</v>
      </c>
      <c r="N196" s="16" t="n">
        <v>1011518.75</v>
      </c>
      <c r="O196" s="17" t="n">
        <f aca="false">N196-M196</f>
        <v>-291858.098214285</v>
      </c>
      <c r="P196" s="14" t="n">
        <f aca="false">IF(M196&lt;1000,"new",R196)</f>
        <v>-0.223924568411776</v>
      </c>
      <c r="Q196" s="4" t="str">
        <f aca="false">IF(LEFT(L196,1)="A",IF(R196&lt;-0.05,"2 FIX","1 PROTECT"),IF(AND(N196&gt;=300000,OR(P196="new",R196&gt;=0.25),LEFT(L196,1)&lt;&gt;"-"),"3 SCALE","4 MAINTAIN"))</f>
        <v>4 MAINTAIN</v>
      </c>
      <c r="R196" s="14" t="n">
        <f aca="false">IF(M196&lt;1000,0,N196/M196-1)</f>
        <v>-0.223924568411776</v>
      </c>
    </row>
    <row r="197" customFormat="false" ht="15" hidden="false" customHeight="false" outlineLevel="0" collapsed="false">
      <c r="A197" s="25" t="n">
        <f aca="false">ROW()-5</f>
        <v>192</v>
      </c>
      <c r="B197" s="4" t="s">
        <v>612</v>
      </c>
      <c r="C197" s="4" t="s">
        <v>613</v>
      </c>
      <c r="D197" s="4" t="s">
        <v>78</v>
      </c>
      <c r="E197" s="4" t="s">
        <v>154</v>
      </c>
      <c r="F197" s="16" t="n">
        <v>274995.535714286</v>
      </c>
      <c r="G197" s="14" t="n">
        <f aca="false">IF(SUMIFS(F$6:F$473,D$6:D$473,D197,E$6:E$473,E197)=0,0,F197/SUMIFS(F$6:F$473,D$6:D$473,D197,E$6:E$473,E197))</f>
        <v>0.00733142273212489</v>
      </c>
      <c r="H197" s="5" t="n">
        <f aca="false">SUMIFS(Pareto_Categories!$G$6:$G$84,Pareto_Categories!$B$6:$B$84,D197,Pareto_Categories!$C$6:$C$84,E197)</f>
        <v>120.122971429313</v>
      </c>
      <c r="I197" s="28" t="n">
        <f aca="false">G197*H197</f>
        <v>0.880672283387255</v>
      </c>
      <c r="J197" s="29" t="n">
        <f aca="false">I197/$I$475</f>
        <v>0.000761261323890765</v>
      </c>
      <c r="K197" s="14" t="n">
        <f aca="false">SUM(J$6:J197)</f>
        <v>0.937332976135574</v>
      </c>
      <c r="L197" s="4" t="str">
        <f aca="false">IF(I197&lt;=0,"-",IF(K197-J197&lt;0.8,"A - top 80%",IF(K197-J197&lt;0.95,"B - next 15%","C - tail")))</f>
        <v>B - next 15%</v>
      </c>
      <c r="M197" s="16" t="n">
        <v>0</v>
      </c>
      <c r="N197" s="16" t="n">
        <v>274995.535714286</v>
      </c>
      <c r="O197" s="17" t="n">
        <f aca="false">N197-M197</f>
        <v>274995.535714286</v>
      </c>
      <c r="P197" s="14" t="str">
        <f aca="false">IF(M197&lt;1000,"new",R197)</f>
        <v>new</v>
      </c>
      <c r="Q197" s="4" t="str">
        <f aca="false">IF(LEFT(L197,1)="A",IF(R197&lt;-0.05,"2 FIX","1 PROTECT"),IF(AND(N197&gt;=300000,OR(P197="new",R197&gt;=0.25),LEFT(L197,1)&lt;&gt;"-"),"3 SCALE","4 MAINTAIN"))</f>
        <v>4 MAINTAIN</v>
      </c>
      <c r="R197" s="14" t="n">
        <f aca="false">IF(M197&lt;1000,0,N197/M197-1)</f>
        <v>0</v>
      </c>
    </row>
    <row r="198" customFormat="false" ht="15" hidden="false" customHeight="false" outlineLevel="0" collapsed="false">
      <c r="A198" s="25" t="n">
        <f aca="false">ROW()-5</f>
        <v>193</v>
      </c>
      <c r="B198" s="4" t="s">
        <v>614</v>
      </c>
      <c r="C198" s="4" t="s">
        <v>615</v>
      </c>
      <c r="D198" s="4" t="s">
        <v>78</v>
      </c>
      <c r="E198" s="4" t="s">
        <v>164</v>
      </c>
      <c r="F198" s="16" t="n">
        <v>218417.857142857</v>
      </c>
      <c r="G198" s="14" t="n">
        <f aca="false">IF(SUMIFS(F$6:F$473,D$6:D$473,D198,E$6:E$473,E198)=0,0,F198/SUMIFS(F$6:F$473,D$6:D$473,D198,E$6:E$473,E198))</f>
        <v>0.0590548122651892</v>
      </c>
      <c r="H198" s="5" t="n">
        <f aca="false">SUMIFS(Pareto_Categories!$G$6:$G$84,Pareto_Categories!$B$6:$B$84,D198,Pareto_Categories!$C$6:$C$84,E198)</f>
        <v>14.7308286998894</v>
      </c>
      <c r="I198" s="28" t="n">
        <f aca="false">G198*H198</f>
        <v>0.869926323382631</v>
      </c>
      <c r="J198" s="29" t="n">
        <f aca="false">I198/$I$475</f>
        <v>0.000751972415980398</v>
      </c>
      <c r="K198" s="14" t="n">
        <f aca="false">SUM(J$6:J198)</f>
        <v>0.938084948551554</v>
      </c>
      <c r="L198" s="4" t="str">
        <f aca="false">IF(I198&lt;=0,"-",IF(K198-J198&lt;0.8,"A - top 80%",IF(K198-J198&lt;0.95,"B - next 15%","C - tail")))</f>
        <v>B - next 15%</v>
      </c>
      <c r="M198" s="16" t="n">
        <v>0</v>
      </c>
      <c r="N198" s="16" t="n">
        <v>476167.285714286</v>
      </c>
      <c r="O198" s="17" t="n">
        <f aca="false">N198-M198</f>
        <v>476167.285714286</v>
      </c>
      <c r="P198" s="14" t="str">
        <f aca="false">IF(M198&lt;1000,"new",R198)</f>
        <v>new</v>
      </c>
      <c r="Q198" s="4" t="str">
        <f aca="false">IF(LEFT(L198,1)="A",IF(R198&lt;-0.05,"2 FIX","1 PROTECT"),IF(AND(N198&gt;=300000,OR(P198="new",R198&gt;=0.25),LEFT(L198,1)&lt;&gt;"-"),"3 SCALE","4 MAINTAIN"))</f>
        <v>3 SCALE</v>
      </c>
      <c r="R198" s="14" t="n">
        <f aca="false">IF(M198&lt;1000,0,N198/M198-1)</f>
        <v>0</v>
      </c>
    </row>
    <row r="199" customFormat="false" ht="15" hidden="false" customHeight="false" outlineLevel="0" collapsed="false">
      <c r="A199" s="25" t="n">
        <f aca="false">ROW()-5</f>
        <v>194</v>
      </c>
      <c r="B199" s="4" t="s">
        <v>616</v>
      </c>
      <c r="C199" s="4" t="s">
        <v>617</v>
      </c>
      <c r="D199" s="4" t="s">
        <v>78</v>
      </c>
      <c r="E199" s="4" t="s">
        <v>162</v>
      </c>
      <c r="F199" s="16" t="n">
        <v>274847.321428571</v>
      </c>
      <c r="G199" s="14" t="n">
        <f aca="false">IF(SUMIFS(F$6:F$473,D$6:D$473,D199,E$6:E$473,E199)=0,0,F199/SUMIFS(F$6:F$473,D$6:D$473,D199,E$6:E$473,E199))</f>
        <v>0.0420462390260742</v>
      </c>
      <c r="H199" s="5" t="n">
        <f aca="false">SUMIFS(Pareto_Categories!$G$6:$G$84,Pareto_Categories!$B$6:$B$84,D199,Pareto_Categories!$C$6:$C$84,E199)</f>
        <v>20.4788803648929</v>
      </c>
      <c r="I199" s="28" t="n">
        <f aca="false">G199*H199</f>
        <v>0.861059898808664</v>
      </c>
      <c r="J199" s="29" t="n">
        <f aca="false">I199/$I$475</f>
        <v>0.000744308196001321</v>
      </c>
      <c r="K199" s="14" t="n">
        <f aca="false">SUM(J$6:J199)</f>
        <v>0.938829256747555</v>
      </c>
      <c r="L199" s="4" t="str">
        <f aca="false">IF(I199&lt;=0,"-",IF(K199-J199&lt;0.8,"A - top 80%",IF(K199-J199&lt;0.95,"B - next 15%","C - tail")))</f>
        <v>B - next 15%</v>
      </c>
      <c r="M199" s="16" t="n">
        <v>79883.9285714286</v>
      </c>
      <c r="N199" s="16" t="n">
        <v>624796.428571429</v>
      </c>
      <c r="O199" s="17" t="n">
        <f aca="false">N199-M199</f>
        <v>544912.5</v>
      </c>
      <c r="P199" s="14" t="n">
        <f aca="false">IF(M199&lt;1000,"new",R199)</f>
        <v>6.82130323013301</v>
      </c>
      <c r="Q199" s="4" t="str">
        <f aca="false">IF(LEFT(L199,1)="A",IF(R199&lt;-0.05,"2 FIX","1 PROTECT"),IF(AND(N199&gt;=300000,OR(P199="new",R199&gt;=0.25),LEFT(L199,1)&lt;&gt;"-"),"3 SCALE","4 MAINTAIN"))</f>
        <v>3 SCALE</v>
      </c>
      <c r="R199" s="14" t="n">
        <f aca="false">IF(M199&lt;1000,0,N199/M199-1)</f>
        <v>6.82130323013301</v>
      </c>
    </row>
    <row r="200" customFormat="false" ht="15" hidden="false" customHeight="false" outlineLevel="0" collapsed="false">
      <c r="A200" s="25" t="n">
        <f aca="false">ROW()-5</f>
        <v>195</v>
      </c>
      <c r="B200" s="4" t="s">
        <v>618</v>
      </c>
      <c r="C200" s="4" t="s">
        <v>619</v>
      </c>
      <c r="D200" s="4" t="s">
        <v>78</v>
      </c>
      <c r="E200" s="4" t="s">
        <v>154</v>
      </c>
      <c r="F200" s="16" t="n">
        <v>267390.017857143</v>
      </c>
      <c r="G200" s="14" t="n">
        <f aca="false">IF(SUMIFS(F$6:F$473,D$6:D$473,D200,E$6:E$473,E200)=0,0,F200/SUMIFS(F$6:F$473,D$6:D$473,D200,E$6:E$473,E200))</f>
        <v>0.00712865847137932</v>
      </c>
      <c r="H200" s="5" t="n">
        <f aca="false">SUMIFS(Pareto_Categories!$G$6:$G$84,Pareto_Categories!$B$6:$B$84,D200,Pareto_Categories!$C$6:$C$84,E200)</f>
        <v>120.122971429313</v>
      </c>
      <c r="I200" s="28" t="n">
        <f aca="false">G200*H200</f>
        <v>0.856315637886829</v>
      </c>
      <c r="J200" s="29" t="n">
        <f aca="false">I200/$I$475</f>
        <v>0.000740207212674869</v>
      </c>
      <c r="K200" s="14" t="n">
        <f aca="false">SUM(J$6:J200)</f>
        <v>0.93956946396023</v>
      </c>
      <c r="L200" s="4" t="str">
        <f aca="false">IF(I200&lt;=0,"-",IF(K200-J200&lt;0.8,"A - top 80%",IF(K200-J200&lt;0.95,"B - next 15%","C - tail")))</f>
        <v>B - next 15%</v>
      </c>
      <c r="M200" s="16" t="n">
        <v>475949.169642857</v>
      </c>
      <c r="N200" s="16" t="n">
        <v>431827.839285714</v>
      </c>
      <c r="O200" s="17" t="n">
        <f aca="false">N200-M200</f>
        <v>-44121.3303571429</v>
      </c>
      <c r="P200" s="14" t="n">
        <f aca="false">IF(M200&lt;1000,"new",R200)</f>
        <v>-0.0927017697924564</v>
      </c>
      <c r="Q200" s="4" t="str">
        <f aca="false">IF(LEFT(L200,1)="A",IF(R200&lt;-0.05,"2 FIX","1 PROTECT"),IF(AND(N200&gt;=300000,OR(P200="new",R200&gt;=0.25),LEFT(L200,1)&lt;&gt;"-"),"3 SCALE","4 MAINTAIN"))</f>
        <v>4 MAINTAIN</v>
      </c>
      <c r="R200" s="14" t="n">
        <f aca="false">IF(M200&lt;1000,0,N200/M200-1)</f>
        <v>-0.0927017697924564</v>
      </c>
    </row>
    <row r="201" customFormat="false" ht="15" hidden="false" customHeight="false" outlineLevel="0" collapsed="false">
      <c r="A201" s="25" t="n">
        <f aca="false">ROW()-5</f>
        <v>196</v>
      </c>
      <c r="B201" s="4" t="s">
        <v>620</v>
      </c>
      <c r="C201" s="4" t="s">
        <v>621</v>
      </c>
      <c r="D201" s="4" t="s">
        <v>78</v>
      </c>
      <c r="E201" s="4" t="s">
        <v>154</v>
      </c>
      <c r="F201" s="16" t="n">
        <v>266184.053571429</v>
      </c>
      <c r="G201" s="14" t="n">
        <f aca="false">IF(SUMIFS(F$6:F$473,D$6:D$473,D201,E$6:E$473,E201)=0,0,F201/SUMIFS(F$6:F$473,D$6:D$473,D201,E$6:E$473,E201))</f>
        <v>0.00709650728043198</v>
      </c>
      <c r="H201" s="5" t="n">
        <f aca="false">SUMIFS(Pareto_Categories!$G$6:$G$84,Pareto_Categories!$B$6:$B$84,D201,Pareto_Categories!$C$6:$C$84,E201)</f>
        <v>120.122971429313</v>
      </c>
      <c r="I201" s="28" t="n">
        <f aca="false">G201*H201</f>
        <v>0.852453541295244</v>
      </c>
      <c r="J201" s="29" t="n">
        <f aca="false">I201/$I$475</f>
        <v>0.000736868780411512</v>
      </c>
      <c r="K201" s="14" t="n">
        <f aca="false">SUM(J$6:J201)</f>
        <v>0.940306332740642</v>
      </c>
      <c r="L201" s="4" t="str">
        <f aca="false">IF(I201&lt;=0,"-",IF(K201-J201&lt;0.8,"A - top 80%",IF(K201-J201&lt;0.95,"B - next 15%","C - tail")))</f>
        <v>B - next 15%</v>
      </c>
      <c r="M201" s="16" t="n">
        <v>497860.669642857</v>
      </c>
      <c r="N201" s="16" t="n">
        <v>324748.339285714</v>
      </c>
      <c r="O201" s="17" t="n">
        <f aca="false">N201-M201</f>
        <v>-173112.330357143</v>
      </c>
      <c r="P201" s="14" t="n">
        <f aca="false">IF(M201&lt;1000,"new",R201)</f>
        <v>-0.347712404117654</v>
      </c>
      <c r="Q201" s="4" t="str">
        <f aca="false">IF(LEFT(L201,1)="A",IF(R201&lt;-0.05,"2 FIX","1 PROTECT"),IF(AND(N201&gt;=300000,OR(P201="new",R201&gt;=0.25),LEFT(L201,1)&lt;&gt;"-"),"3 SCALE","4 MAINTAIN"))</f>
        <v>4 MAINTAIN</v>
      </c>
      <c r="R201" s="14" t="n">
        <f aca="false">IF(M201&lt;1000,0,N201/M201-1)</f>
        <v>-0.347712404117654</v>
      </c>
    </row>
    <row r="202" customFormat="false" ht="15" hidden="false" customHeight="false" outlineLevel="0" collapsed="false">
      <c r="A202" s="25" t="n">
        <f aca="false">ROW()-5</f>
        <v>197</v>
      </c>
      <c r="B202" s="4" t="s">
        <v>420</v>
      </c>
      <c r="C202" s="4" t="s">
        <v>421</v>
      </c>
      <c r="D202" s="4" t="s">
        <v>78</v>
      </c>
      <c r="E202" s="4" t="s">
        <v>164</v>
      </c>
      <c r="F202" s="16" t="n">
        <v>209308.035714286</v>
      </c>
      <c r="G202" s="14" t="n">
        <f aca="false">IF(SUMIFS(F$6:F$473,D$6:D$473,D202,E$6:E$473,E202)=0,0,F202/SUMIFS(F$6:F$473,D$6:D$473,D202,E$6:E$473,E202))</f>
        <v>0.0565917407871012</v>
      </c>
      <c r="H202" s="5" t="n">
        <f aca="false">SUMIFS(Pareto_Categories!$G$6:$G$84,Pareto_Categories!$B$6:$B$84,D202,Pareto_Categories!$C$6:$C$84,E202)</f>
        <v>14.7308286998894</v>
      </c>
      <c r="I202" s="28" t="n">
        <f aca="false">G202*H202</f>
        <v>0.833643239363333</v>
      </c>
      <c r="J202" s="29" t="n">
        <f aca="false">I202/$I$475</f>
        <v>0.000720608980232045</v>
      </c>
      <c r="K202" s="14" t="n">
        <f aca="false">SUM(J$6:J202)</f>
        <v>0.941026941720874</v>
      </c>
      <c r="L202" s="4" t="str">
        <f aca="false">IF(I202&lt;=0,"-",IF(K202-J202&lt;0.8,"A - top 80%",IF(K202-J202&lt;0.95,"B - next 15%","C - tail")))</f>
        <v>B - next 15%</v>
      </c>
      <c r="M202" s="16" t="n">
        <v>0</v>
      </c>
      <c r="N202" s="16" t="n">
        <v>481468.75</v>
      </c>
      <c r="O202" s="17" t="n">
        <f aca="false">N202-M202</f>
        <v>481468.75</v>
      </c>
      <c r="P202" s="14" t="str">
        <f aca="false">IF(M202&lt;1000,"new",R202)</f>
        <v>new</v>
      </c>
      <c r="Q202" s="4" t="str">
        <f aca="false">IF(LEFT(L202,1)="A",IF(R202&lt;-0.05,"2 FIX","1 PROTECT"),IF(AND(N202&gt;=300000,OR(P202="new",R202&gt;=0.25),LEFT(L202,1)&lt;&gt;"-"),"3 SCALE","4 MAINTAIN"))</f>
        <v>3 SCALE</v>
      </c>
      <c r="R202" s="14" t="n">
        <f aca="false">IF(M202&lt;1000,0,N202/M202-1)</f>
        <v>0</v>
      </c>
    </row>
    <row r="203" customFormat="false" ht="15" hidden="false" customHeight="false" outlineLevel="0" collapsed="false">
      <c r="A203" s="25" t="n">
        <f aca="false">ROW()-5</f>
        <v>198</v>
      </c>
      <c r="B203" s="4" t="s">
        <v>622</v>
      </c>
      <c r="C203" s="4" t="s">
        <v>623</v>
      </c>
      <c r="D203" s="4" t="s">
        <v>78</v>
      </c>
      <c r="E203" s="4" t="s">
        <v>154</v>
      </c>
      <c r="F203" s="16" t="n">
        <v>259119.642857143</v>
      </c>
      <c r="G203" s="14" t="n">
        <f aca="false">IF(SUMIFS(F$6:F$473,D$6:D$473,D203,E$6:E$473,E203)=0,0,F203/SUMIFS(F$6:F$473,D$6:D$473,D203,E$6:E$473,E203))</f>
        <v>0.00690816901826618</v>
      </c>
      <c r="H203" s="5" t="n">
        <f aca="false">SUMIFS(Pareto_Categories!$G$6:$G$84,Pareto_Categories!$B$6:$B$84,D203,Pareto_Categories!$C$6:$C$84,E203)</f>
        <v>120.122971429313</v>
      </c>
      <c r="I203" s="28" t="n">
        <f aca="false">G203*H203</f>
        <v>0.829829789610055</v>
      </c>
      <c r="J203" s="29" t="n">
        <f aca="false">I203/$I$475</f>
        <v>0.000717312598748793</v>
      </c>
      <c r="K203" s="14" t="n">
        <f aca="false">SUM(J$6:J203)</f>
        <v>0.941744254319622</v>
      </c>
      <c r="L203" s="4" t="str">
        <f aca="false">IF(I203&lt;=0,"-",IF(K203-J203&lt;0.8,"A - top 80%",IF(K203-J203&lt;0.95,"B - next 15%","C - tail")))</f>
        <v>B - next 15%</v>
      </c>
      <c r="M203" s="16" t="n">
        <v>682980.357142857</v>
      </c>
      <c r="N203" s="16" t="n">
        <v>604043.75</v>
      </c>
      <c r="O203" s="17" t="n">
        <f aca="false">N203-M203</f>
        <v>-78936.607142857</v>
      </c>
      <c r="P203" s="14" t="n">
        <f aca="false">IF(M203&lt;1000,"new",R203)</f>
        <v>-0.115576687260928</v>
      </c>
      <c r="Q203" s="4" t="str">
        <f aca="false">IF(LEFT(L203,1)="A",IF(R203&lt;-0.05,"2 FIX","1 PROTECT"),IF(AND(N203&gt;=300000,OR(P203="new",R203&gt;=0.25),LEFT(L203,1)&lt;&gt;"-"),"3 SCALE","4 MAINTAIN"))</f>
        <v>4 MAINTAIN</v>
      </c>
      <c r="R203" s="14" t="n">
        <f aca="false">IF(M203&lt;1000,0,N203/M203-1)</f>
        <v>-0.115576687260928</v>
      </c>
    </row>
    <row r="204" customFormat="false" ht="15" hidden="false" customHeight="false" outlineLevel="0" collapsed="false">
      <c r="A204" s="25" t="n">
        <f aca="false">ROW()-5</f>
        <v>199</v>
      </c>
      <c r="B204" s="4" t="s">
        <v>624</v>
      </c>
      <c r="C204" s="4" t="s">
        <v>625</v>
      </c>
      <c r="D204" s="4" t="s">
        <v>78</v>
      </c>
      <c r="E204" s="4" t="s">
        <v>151</v>
      </c>
      <c r="F204" s="16" t="n">
        <v>246680.357142857</v>
      </c>
      <c r="G204" s="14" t="n">
        <f aca="false">IF(SUMIFS(F$6:F$473,D$6:D$473,D204,E$6:E$473,E204)=0,0,F204/SUMIFS(F$6:F$473,D$6:D$473,D204,E$6:E$473,E204))</f>
        <v>0.00430279013146055</v>
      </c>
      <c r="H204" s="5" t="n">
        <f aca="false">SUMIFS(Pareto_Categories!$G$6:$G$84,Pareto_Categories!$B$6:$B$84,D204,Pareto_Categories!$C$6:$C$84,E204)</f>
        <v>192.620734264564</v>
      </c>
      <c r="I204" s="28" t="n">
        <f aca="false">G204*H204</f>
        <v>0.828806594508249</v>
      </c>
      <c r="J204" s="29" t="n">
        <f aca="false">I204/$I$475</f>
        <v>0.000716428139373277</v>
      </c>
      <c r="K204" s="14" t="n">
        <f aca="false">SUM(J$6:J204)</f>
        <v>0.942460682458996</v>
      </c>
      <c r="L204" s="4" t="str">
        <f aca="false">IF(I204&lt;=0,"-",IF(K204-J204&lt;0.8,"A - top 80%",IF(K204-J204&lt;0.95,"B - next 15%","C - tail")))</f>
        <v>B - next 15%</v>
      </c>
      <c r="M204" s="16" t="n">
        <v>365964.285714286</v>
      </c>
      <c r="N204" s="16" t="n">
        <v>438426.785714286</v>
      </c>
      <c r="O204" s="17" t="n">
        <f aca="false">N204-M204</f>
        <v>72462.5</v>
      </c>
      <c r="P204" s="14" t="n">
        <f aca="false">IF(M204&lt;1000,"new",R204)</f>
        <v>0.19800429393969</v>
      </c>
      <c r="Q204" s="4" t="str">
        <f aca="false">IF(LEFT(L204,1)="A",IF(R204&lt;-0.05,"2 FIX","1 PROTECT"),IF(AND(N204&gt;=300000,OR(P204="new",R204&gt;=0.25),LEFT(L204,1)&lt;&gt;"-"),"3 SCALE","4 MAINTAIN"))</f>
        <v>4 MAINTAIN</v>
      </c>
      <c r="R204" s="14" t="n">
        <f aca="false">IF(M204&lt;1000,0,N204/M204-1)</f>
        <v>0.19800429393969</v>
      </c>
    </row>
    <row r="205" customFormat="false" ht="15" hidden="false" customHeight="false" outlineLevel="0" collapsed="false">
      <c r="A205" s="25" t="n">
        <f aca="false">ROW()-5</f>
        <v>200</v>
      </c>
      <c r="B205" s="4" t="s">
        <v>626</v>
      </c>
      <c r="C205" s="4" t="s">
        <v>627</v>
      </c>
      <c r="D205" s="4" t="s">
        <v>78</v>
      </c>
      <c r="E205" s="4" t="s">
        <v>153</v>
      </c>
      <c r="F205" s="16" t="n">
        <v>183462.5</v>
      </c>
      <c r="G205" s="14" t="n">
        <f aca="false">IF(SUMIFS(F$6:F$473,D$6:D$473,D205,E$6:E$473,E205)=0,0,F205/SUMIFS(F$6:F$473,D$6:D$473,D205,E$6:E$473,E205))</f>
        <v>0.00543369594429782</v>
      </c>
      <c r="H205" s="5" t="n">
        <f aca="false">SUMIFS(Pareto_Categories!$G$6:$G$84,Pareto_Categories!$B$6:$B$84,D205,Pareto_Categories!$C$6:$C$84,E205)</f>
        <v>152.006736079647</v>
      </c>
      <c r="I205" s="28" t="n">
        <f aca="false">G205*H205</f>
        <v>0.825958385341925</v>
      </c>
      <c r="J205" s="29" t="n">
        <f aca="false">I205/$I$475</f>
        <v>0.000713966120843144</v>
      </c>
      <c r="K205" s="14" t="n">
        <f aca="false">SUM(J$6:J205)</f>
        <v>0.943174648579839</v>
      </c>
      <c r="L205" s="4" t="str">
        <f aca="false">IF(I205&lt;=0,"-",IF(K205-J205&lt;0.8,"A - top 80%",IF(K205-J205&lt;0.95,"B - next 15%","C - tail")))</f>
        <v>B - next 15%</v>
      </c>
      <c r="M205" s="16" t="n">
        <v>336233.035714286</v>
      </c>
      <c r="N205" s="16" t="n">
        <v>356416.964285714</v>
      </c>
      <c r="O205" s="17" t="n">
        <f aca="false">N205-M205</f>
        <v>20183.9285714285</v>
      </c>
      <c r="P205" s="14" t="n">
        <f aca="false">IF(M205&lt;1000,"new",R205)</f>
        <v>0.0600295819491687</v>
      </c>
      <c r="Q205" s="4" t="str">
        <f aca="false">IF(LEFT(L205,1)="A",IF(R205&lt;-0.05,"2 FIX","1 PROTECT"),IF(AND(N205&gt;=300000,OR(P205="new",R205&gt;=0.25),LEFT(L205,1)&lt;&gt;"-"),"3 SCALE","4 MAINTAIN"))</f>
        <v>4 MAINTAIN</v>
      </c>
      <c r="R205" s="14" t="n">
        <f aca="false">IF(M205&lt;1000,0,N205/M205-1)</f>
        <v>0.0600295819491687</v>
      </c>
    </row>
    <row r="206" customFormat="false" ht="15" hidden="false" customHeight="false" outlineLevel="0" collapsed="false">
      <c r="A206" s="25" t="n">
        <f aca="false">ROW()-5</f>
        <v>201</v>
      </c>
      <c r="B206" s="4" t="s">
        <v>628</v>
      </c>
      <c r="C206" s="4" t="s">
        <v>629</v>
      </c>
      <c r="D206" s="4" t="s">
        <v>78</v>
      </c>
      <c r="E206" s="4" t="s">
        <v>156</v>
      </c>
      <c r="F206" s="16" t="n">
        <v>283248.883928571</v>
      </c>
      <c r="G206" s="14" t="n">
        <f aca="false">IF(SUMIFS(F$6:F$473,D$6:D$473,D206,E$6:E$473,E206)=0,0,F206/SUMIFS(F$6:F$473,D$6:D$473,D206,E$6:E$473,E206))</f>
        <v>0.0157279248693959</v>
      </c>
      <c r="H206" s="5" t="n">
        <f aca="false">SUMIFS(Pareto_Categories!$G$6:$G$84,Pareto_Categories!$B$6:$B$84,D206,Pareto_Categories!$C$6:$C$84,E206)</f>
        <v>51.0983233945647</v>
      </c>
      <c r="I206" s="28" t="n">
        <f aca="false">G206*H206</f>
        <v>0.803670591301809</v>
      </c>
      <c r="J206" s="29" t="n">
        <f aca="false">I206/$I$475</f>
        <v>0.000694700344097763</v>
      </c>
      <c r="K206" s="14" t="n">
        <f aca="false">SUM(J$6:J206)</f>
        <v>0.943869348923937</v>
      </c>
      <c r="L206" s="4" t="str">
        <f aca="false">IF(I206&lt;=0,"-",IF(K206-J206&lt;0.8,"A - top 80%",IF(K206-J206&lt;0.95,"B - next 15%","C - tail")))</f>
        <v>B - next 15%</v>
      </c>
      <c r="M206" s="16" t="n">
        <v>867612.5</v>
      </c>
      <c r="N206" s="16" t="n">
        <v>687313.616071429</v>
      </c>
      <c r="O206" s="17" t="n">
        <f aca="false">N206-M206</f>
        <v>-180298.883928571</v>
      </c>
      <c r="P206" s="14" t="n">
        <f aca="false">IF(M206&lt;1000,"new",R206)</f>
        <v>-0.207810380704026</v>
      </c>
      <c r="Q206" s="4" t="str">
        <f aca="false">IF(LEFT(L206,1)="A",IF(R206&lt;-0.05,"2 FIX","1 PROTECT"),IF(AND(N206&gt;=300000,OR(P206="new",R206&gt;=0.25),LEFT(L206,1)&lt;&gt;"-"),"3 SCALE","4 MAINTAIN"))</f>
        <v>4 MAINTAIN</v>
      </c>
      <c r="R206" s="14" t="n">
        <f aca="false">IF(M206&lt;1000,0,N206/M206-1)</f>
        <v>-0.207810380704026</v>
      </c>
    </row>
    <row r="207" customFormat="false" ht="15" hidden="false" customHeight="false" outlineLevel="0" collapsed="false">
      <c r="A207" s="25" t="n">
        <f aca="false">ROW()-5</f>
        <v>202</v>
      </c>
      <c r="B207" s="4" t="s">
        <v>498</v>
      </c>
      <c r="C207" s="4" t="s">
        <v>499</v>
      </c>
      <c r="D207" s="4" t="s">
        <v>83</v>
      </c>
      <c r="E207" s="4" t="s">
        <v>179</v>
      </c>
      <c r="F207" s="16" t="n">
        <v>326620.535714286</v>
      </c>
      <c r="G207" s="14" t="n">
        <f aca="false">IF(SUMIFS(F$6:F$473,D$6:D$473,D207,E$6:E$473,E207)=0,0,F207/SUMIFS(F$6:F$473,D$6:D$473,D207,E$6:E$473,E207))</f>
        <v>0.0457155089815795</v>
      </c>
      <c r="H207" s="5" t="n">
        <f aca="false">SUMIFS(Pareto_Categories!$G$6:$G$84,Pareto_Categories!$B$6:$B$84,D207,Pareto_Categories!$C$6:$C$84,E207)</f>
        <v>17.1493362305561</v>
      </c>
      <c r="I207" s="28" t="n">
        <f aca="false">G207*H207</f>
        <v>0.783990634476112</v>
      </c>
      <c r="J207" s="29" t="n">
        <f aca="false">I207/$I$475</f>
        <v>0.000677688806128587</v>
      </c>
      <c r="K207" s="14" t="n">
        <f aca="false">SUM(J$6:J207)</f>
        <v>0.944547037730065</v>
      </c>
      <c r="L207" s="4" t="str">
        <f aca="false">IF(I207&lt;=0,"-",IF(K207-J207&lt;0.8,"A - top 80%",IF(K207-J207&lt;0.95,"B - next 15%","C - tail")))</f>
        <v>B - next 15%</v>
      </c>
      <c r="M207" s="16" t="n">
        <v>0</v>
      </c>
      <c r="N207" s="16" t="n">
        <v>724334.821428571</v>
      </c>
      <c r="O207" s="17" t="n">
        <f aca="false">N207-M207</f>
        <v>724334.821428571</v>
      </c>
      <c r="P207" s="14" t="str">
        <f aca="false">IF(M207&lt;1000,"new",R207)</f>
        <v>new</v>
      </c>
      <c r="Q207" s="4" t="str">
        <f aca="false">IF(LEFT(L207,1)="A",IF(R207&lt;-0.05,"2 FIX","1 PROTECT"),IF(AND(N207&gt;=300000,OR(P207="new",R207&gt;=0.25),LEFT(L207,1)&lt;&gt;"-"),"3 SCALE","4 MAINTAIN"))</f>
        <v>3 SCALE</v>
      </c>
      <c r="R207" s="14" t="n">
        <f aca="false">IF(M207&lt;1000,0,N207/M207-1)</f>
        <v>0</v>
      </c>
    </row>
    <row r="208" customFormat="false" ht="15" hidden="false" customHeight="false" outlineLevel="0" collapsed="false">
      <c r="A208" s="25" t="n">
        <f aca="false">ROW()-5</f>
        <v>203</v>
      </c>
      <c r="B208" s="4" t="s">
        <v>518</v>
      </c>
      <c r="C208" s="4" t="s">
        <v>519</v>
      </c>
      <c r="D208" s="4" t="s">
        <v>83</v>
      </c>
      <c r="E208" s="4" t="s">
        <v>179</v>
      </c>
      <c r="F208" s="16" t="n">
        <v>317413.392857143</v>
      </c>
      <c r="G208" s="14" t="n">
        <f aca="false">IF(SUMIFS(F$6:F$473,D$6:D$473,D208,E$6:E$473,E208)=0,0,F208/SUMIFS(F$6:F$473,D$6:D$473,D208,E$6:E$473,E208))</f>
        <v>0.0444268293795455</v>
      </c>
      <c r="H208" s="5" t="n">
        <f aca="false">SUMIFS(Pareto_Categories!$G$6:$G$84,Pareto_Categories!$B$6:$B$84,D208,Pareto_Categories!$C$6:$C$84,E208)</f>
        <v>17.1493362305561</v>
      </c>
      <c r="I208" s="28" t="n">
        <f aca="false">G208*H208</f>
        <v>0.761890634687372</v>
      </c>
      <c r="J208" s="29" t="n">
        <f aca="false">I208/$I$475</f>
        <v>0.000658585360483116</v>
      </c>
      <c r="K208" s="14" t="n">
        <f aca="false">SUM(J$6:J208)</f>
        <v>0.945205623090548</v>
      </c>
      <c r="L208" s="4" t="str">
        <f aca="false">IF(I208&lt;=0,"-",IF(K208-J208&lt;0.8,"A - top 80%",IF(K208-J208&lt;0.95,"B - next 15%","C - tail")))</f>
        <v>B - next 15%</v>
      </c>
      <c r="M208" s="16" t="n">
        <v>0</v>
      </c>
      <c r="N208" s="16" t="n">
        <v>726956.25</v>
      </c>
      <c r="O208" s="17" t="n">
        <f aca="false">N208-M208</f>
        <v>726956.25</v>
      </c>
      <c r="P208" s="14" t="str">
        <f aca="false">IF(M208&lt;1000,"new",R208)</f>
        <v>new</v>
      </c>
      <c r="Q208" s="4" t="str">
        <f aca="false">IF(LEFT(L208,1)="A",IF(R208&lt;-0.05,"2 FIX","1 PROTECT"),IF(AND(N208&gt;=300000,OR(P208="new",R208&gt;=0.25),LEFT(L208,1)&lt;&gt;"-"),"3 SCALE","4 MAINTAIN"))</f>
        <v>3 SCALE</v>
      </c>
      <c r="R208" s="14" t="n">
        <f aca="false">IF(M208&lt;1000,0,N208/M208-1)</f>
        <v>0</v>
      </c>
    </row>
    <row r="209" customFormat="false" ht="15" hidden="false" customHeight="false" outlineLevel="0" collapsed="false">
      <c r="A209" s="25" t="n">
        <f aca="false">ROW()-5</f>
        <v>204</v>
      </c>
      <c r="B209" s="4" t="s">
        <v>630</v>
      </c>
      <c r="C209" s="4" t="s">
        <v>631</v>
      </c>
      <c r="D209" s="4" t="s">
        <v>78</v>
      </c>
      <c r="E209" s="4" t="s">
        <v>169</v>
      </c>
      <c r="F209" s="16" t="n">
        <v>168569.642857143</v>
      </c>
      <c r="G209" s="14" t="n">
        <f aca="false">IF(SUMIFS(F$6:F$473,D$6:D$473,D209,E$6:E$473,E209)=0,0,F209/SUMIFS(F$6:F$473,D$6:D$473,D209,E$6:E$473,E209))</f>
        <v>0.154954026262031</v>
      </c>
      <c r="H209" s="5" t="n">
        <f aca="false">SUMIFS(Pareto_Categories!$G$6:$G$84,Pareto_Categories!$B$6:$B$84,D209,Pareto_Categories!$C$6:$C$84,E209)</f>
        <v>4.89526180272377</v>
      </c>
      <c r="I209" s="28" t="n">
        <f aca="false">G209*H209</f>
        <v>0.758540525938776</v>
      </c>
      <c r="J209" s="29" t="n">
        <f aca="false">I209/$I$475</f>
        <v>0.000655689495279632</v>
      </c>
      <c r="K209" s="14" t="n">
        <f aca="false">SUM(J$6:J209)</f>
        <v>0.945861312585828</v>
      </c>
      <c r="L209" s="4" t="str">
        <f aca="false">IF(I209&lt;=0,"-",IF(K209-J209&lt;0.8,"A - top 80%",IF(K209-J209&lt;0.95,"B - next 15%","C - tail")))</f>
        <v>B - next 15%</v>
      </c>
      <c r="M209" s="16" t="n">
        <v>292147.321428571</v>
      </c>
      <c r="N209" s="16" t="n">
        <v>295576.785714286</v>
      </c>
      <c r="O209" s="17" t="n">
        <f aca="false">N209-M209</f>
        <v>3429.46428571426</v>
      </c>
      <c r="P209" s="14" t="n">
        <f aca="false">IF(M209&lt;1000,"new",R209)</f>
        <v>0.0117388181720939</v>
      </c>
      <c r="Q209" s="4" t="str">
        <f aca="false">IF(LEFT(L209,1)="A",IF(R209&lt;-0.05,"2 FIX","1 PROTECT"),IF(AND(N209&gt;=300000,OR(P209="new",R209&gt;=0.25),LEFT(L209,1)&lt;&gt;"-"),"3 SCALE","4 MAINTAIN"))</f>
        <v>4 MAINTAIN</v>
      </c>
      <c r="R209" s="14" t="n">
        <f aca="false">IF(M209&lt;1000,0,N209/M209-1)</f>
        <v>0.0117388181720939</v>
      </c>
    </row>
    <row r="210" customFormat="false" ht="15" hidden="false" customHeight="false" outlineLevel="0" collapsed="false">
      <c r="A210" s="25" t="n">
        <f aca="false">ROW()-5</f>
        <v>205</v>
      </c>
      <c r="B210" s="4" t="s">
        <v>632</v>
      </c>
      <c r="C210" s="4" t="s">
        <v>633</v>
      </c>
      <c r="D210" s="4" t="s">
        <v>78</v>
      </c>
      <c r="E210" s="4" t="s">
        <v>162</v>
      </c>
      <c r="F210" s="16" t="n">
        <v>220458.035714286</v>
      </c>
      <c r="G210" s="14" t="n">
        <f aca="false">IF(SUMIFS(F$6:F$473,D$6:D$473,D210,E$6:E$473,E210)=0,0,F210/SUMIFS(F$6:F$473,D$6:D$473,D210,E$6:E$473,E210))</f>
        <v>0.0337257471409291</v>
      </c>
      <c r="H210" s="5" t="n">
        <f aca="false">SUMIFS(Pareto_Categories!$G$6:$G$84,Pareto_Categories!$B$6:$B$84,D210,Pareto_Categories!$C$6:$C$84,E210)</f>
        <v>20.4788803648929</v>
      </c>
      <c r="I210" s="28" t="n">
        <f aca="false">G210*H210</f>
        <v>0.690665540915715</v>
      </c>
      <c r="J210" s="29" t="n">
        <f aca="false">I210/$I$475</f>
        <v>0.000597017726072833</v>
      </c>
      <c r="K210" s="14" t="n">
        <f aca="false">SUM(J$6:J210)</f>
        <v>0.946458330311901</v>
      </c>
      <c r="L210" s="4" t="str">
        <f aca="false">IF(I210&lt;=0,"-",IF(K210-J210&lt;0.8,"A - top 80%",IF(K210-J210&lt;0.95,"B - next 15%","C - tail")))</f>
        <v>B - next 15%</v>
      </c>
      <c r="M210" s="16" t="n">
        <v>26869.6428571429</v>
      </c>
      <c r="N210" s="16" t="n">
        <v>463984.821428571</v>
      </c>
      <c r="O210" s="17" t="n">
        <f aca="false">N210-M210</f>
        <v>437115.178571429</v>
      </c>
      <c r="P210" s="14" t="n">
        <f aca="false">IF(M210&lt;1000,"new",R210)</f>
        <v>16.2679936199907</v>
      </c>
      <c r="Q210" s="4" t="str">
        <f aca="false">IF(LEFT(L210,1)="A",IF(R210&lt;-0.05,"2 FIX","1 PROTECT"),IF(AND(N210&gt;=300000,OR(P210="new",R210&gt;=0.25),LEFT(L210,1)&lt;&gt;"-"),"3 SCALE","4 MAINTAIN"))</f>
        <v>3 SCALE</v>
      </c>
      <c r="R210" s="14" t="n">
        <f aca="false">IF(M210&lt;1000,0,N210/M210-1)</f>
        <v>16.2679936199907</v>
      </c>
    </row>
    <row r="211" customFormat="false" ht="15" hidden="false" customHeight="false" outlineLevel="0" collapsed="false">
      <c r="A211" s="25" t="n">
        <f aca="false">ROW()-5</f>
        <v>206</v>
      </c>
      <c r="B211" s="4" t="s">
        <v>634</v>
      </c>
      <c r="C211" s="4" t="s">
        <v>635</v>
      </c>
      <c r="D211" s="4" t="s">
        <v>78</v>
      </c>
      <c r="E211" s="4" t="s">
        <v>158</v>
      </c>
      <c r="F211" s="16" t="n">
        <v>252126.785714286</v>
      </c>
      <c r="G211" s="14" t="n">
        <f aca="false">IF(SUMIFS(F$6:F$473,D$6:D$473,D211,E$6:E$473,E211)=0,0,F211/SUMIFS(F$6:F$473,D$6:D$473,D211,E$6:E$473,E211))</f>
        <v>0.020444683012485</v>
      </c>
      <c r="H211" s="5" t="n">
        <f aca="false">SUMIFS(Pareto_Categories!$G$6:$G$84,Pareto_Categories!$B$6:$B$84,D211,Pareto_Categories!$C$6:$C$84,E211)</f>
        <v>33.2897401825497</v>
      </c>
      <c r="I211" s="28" t="n">
        <f aca="false">G211*H211</f>
        <v>0.680598185600214</v>
      </c>
      <c r="J211" s="29" t="n">
        <f aca="false">I211/$I$475</f>
        <v>0.00058831541037592</v>
      </c>
      <c r="K211" s="14" t="n">
        <f aca="false">SUM(J$6:J211)</f>
        <v>0.947046645722277</v>
      </c>
      <c r="L211" s="4" t="str">
        <f aca="false">IF(I211&lt;=0,"-",IF(K211-J211&lt;0.8,"A - top 80%",IF(K211-J211&lt;0.95,"B - next 15%","C - tail")))</f>
        <v>B - next 15%</v>
      </c>
      <c r="M211" s="16" t="n">
        <v>0</v>
      </c>
      <c r="N211" s="16" t="n">
        <v>252126.785714286</v>
      </c>
      <c r="O211" s="17" t="n">
        <f aca="false">N211-M211</f>
        <v>252126.785714286</v>
      </c>
      <c r="P211" s="14" t="str">
        <f aca="false">IF(M211&lt;1000,"new",R211)</f>
        <v>new</v>
      </c>
      <c r="Q211" s="4" t="str">
        <f aca="false">IF(LEFT(L211,1)="A",IF(R211&lt;-0.05,"2 FIX","1 PROTECT"),IF(AND(N211&gt;=300000,OR(P211="new",R211&gt;=0.25),LEFT(L211,1)&lt;&gt;"-"),"3 SCALE","4 MAINTAIN"))</f>
        <v>4 MAINTAIN</v>
      </c>
      <c r="R211" s="14" t="n">
        <f aca="false">IF(M211&lt;1000,0,N211/M211-1)</f>
        <v>0</v>
      </c>
    </row>
    <row r="212" customFormat="false" ht="15" hidden="false" customHeight="false" outlineLevel="0" collapsed="false">
      <c r="A212" s="25" t="n">
        <f aca="false">ROW()-5</f>
        <v>207</v>
      </c>
      <c r="B212" s="4" t="s">
        <v>636</v>
      </c>
      <c r="C212" s="4" t="s">
        <v>637</v>
      </c>
      <c r="D212" s="4" t="s">
        <v>78</v>
      </c>
      <c r="E212" s="4" t="s">
        <v>166</v>
      </c>
      <c r="F212" s="16" t="n">
        <v>170027.678571429</v>
      </c>
      <c r="G212" s="14" t="n">
        <f aca="false">IF(SUMIFS(F$6:F$473,D$6:D$473,D212,E$6:E$473,E212)=0,0,F212/SUMIFS(F$6:F$473,D$6:D$473,D212,E$6:E$473,E212))</f>
        <v>0.0500973321625725</v>
      </c>
      <c r="H212" s="5" t="n">
        <f aca="false">SUMIFS(Pareto_Categories!$G$6:$G$84,Pareto_Categories!$B$6:$B$84,D212,Pareto_Categories!$C$6:$C$84,E212)</f>
        <v>13.503490691206</v>
      </c>
      <c r="I212" s="28" t="n">
        <f aca="false">G212*H212</f>
        <v>0.67648885851155</v>
      </c>
      <c r="J212" s="29" t="n">
        <f aca="false">I212/$I$475</f>
        <v>0.00058476326976831</v>
      </c>
      <c r="K212" s="14" t="n">
        <f aca="false">SUM(J$6:J212)</f>
        <v>0.947631408992045</v>
      </c>
      <c r="L212" s="4" t="str">
        <f aca="false">IF(I212&lt;=0,"-",IF(K212-J212&lt;0.8,"A - top 80%",IF(K212-J212&lt;0.95,"B - next 15%","C - tail")))</f>
        <v>B - next 15%</v>
      </c>
      <c r="M212" s="16" t="n">
        <v>349555.482142857</v>
      </c>
      <c r="N212" s="16" t="n">
        <v>338996.428571429</v>
      </c>
      <c r="O212" s="17" t="n">
        <f aca="false">N212-M212</f>
        <v>-10559.0535714287</v>
      </c>
      <c r="P212" s="14" t="n">
        <f aca="false">IF(M212&lt;1000,"new",R212)</f>
        <v>-0.0302070890340476</v>
      </c>
      <c r="Q212" s="4" t="str">
        <f aca="false">IF(LEFT(L212,1)="A",IF(R212&lt;-0.05,"2 FIX","1 PROTECT"),IF(AND(N212&gt;=300000,OR(P212="new",R212&gt;=0.25),LEFT(L212,1)&lt;&gt;"-"),"3 SCALE","4 MAINTAIN"))</f>
        <v>4 MAINTAIN</v>
      </c>
      <c r="R212" s="14" t="n">
        <f aca="false">IF(M212&lt;1000,0,N212/M212-1)</f>
        <v>-0.0302070890340476</v>
      </c>
    </row>
    <row r="213" customFormat="false" ht="15" hidden="false" customHeight="false" outlineLevel="0" collapsed="false">
      <c r="A213" s="25" t="n">
        <f aca="false">ROW()-5</f>
        <v>208</v>
      </c>
      <c r="B213" s="4" t="s">
        <v>638</v>
      </c>
      <c r="C213" s="4" t="s">
        <v>639</v>
      </c>
      <c r="D213" s="4" t="s">
        <v>78</v>
      </c>
      <c r="E213" s="4" t="s">
        <v>154</v>
      </c>
      <c r="F213" s="16" t="n">
        <v>205596.428571429</v>
      </c>
      <c r="G213" s="14" t="n">
        <f aca="false">IF(SUMIFS(F$6:F$473,D$6:D$473,D213,E$6:E$473,E213)=0,0,F213/SUMIFS(F$6:F$473,D$6:D$473,D213,E$6:E$473,E213))</f>
        <v>0.00548123199948355</v>
      </c>
      <c r="H213" s="5" t="n">
        <f aca="false">SUMIFS(Pareto_Categories!$G$6:$G$84,Pareto_Categories!$B$6:$B$84,D213,Pareto_Categories!$C$6:$C$84,E213)</f>
        <v>120.122971429313</v>
      </c>
      <c r="I213" s="28" t="n">
        <f aca="false">G213*H213</f>
        <v>0.658421874871399</v>
      </c>
      <c r="J213" s="29" t="n">
        <f aca="false">I213/$I$475</f>
        <v>0.000569146000843127</v>
      </c>
      <c r="K213" s="14" t="n">
        <f aca="false">SUM(J$6:J213)</f>
        <v>0.948200554992888</v>
      </c>
      <c r="L213" s="4" t="str">
        <f aca="false">IF(I213&lt;=0,"-",IF(K213-J213&lt;0.8,"A - top 80%",IF(K213-J213&lt;0.95,"B - next 15%","C - tail")))</f>
        <v>B - next 15%</v>
      </c>
      <c r="M213" s="16" t="n">
        <v>0</v>
      </c>
      <c r="N213" s="16" t="n">
        <v>205596.428571429</v>
      </c>
      <c r="O213" s="17" t="n">
        <f aca="false">N213-M213</f>
        <v>205596.428571429</v>
      </c>
      <c r="P213" s="14" t="str">
        <f aca="false">IF(M213&lt;1000,"new",R213)</f>
        <v>new</v>
      </c>
      <c r="Q213" s="4" t="str">
        <f aca="false">IF(LEFT(L213,1)="A",IF(R213&lt;-0.05,"2 FIX","1 PROTECT"),IF(AND(N213&gt;=300000,OR(P213="new",R213&gt;=0.25),LEFT(L213,1)&lt;&gt;"-"),"3 SCALE","4 MAINTAIN"))</f>
        <v>4 MAINTAIN</v>
      </c>
      <c r="R213" s="14" t="n">
        <f aca="false">IF(M213&lt;1000,0,N213/M213-1)</f>
        <v>0</v>
      </c>
    </row>
    <row r="214" customFormat="false" ht="15" hidden="false" customHeight="false" outlineLevel="0" collapsed="false">
      <c r="A214" s="25" t="n">
        <f aca="false">ROW()-5</f>
        <v>209</v>
      </c>
      <c r="B214" s="4" t="s">
        <v>640</v>
      </c>
      <c r="C214" s="4" t="s">
        <v>641</v>
      </c>
      <c r="D214" s="4" t="s">
        <v>78</v>
      </c>
      <c r="E214" s="4" t="s">
        <v>169</v>
      </c>
      <c r="F214" s="16" t="n">
        <v>144666.071428571</v>
      </c>
      <c r="G214" s="14" t="n">
        <f aca="false">IF(SUMIFS(F$6:F$473,D$6:D$473,D214,E$6:E$473,E214)=0,0,F214/SUMIFS(F$6:F$473,D$6:D$473,D214,E$6:E$473,E214))</f>
        <v>0.132981181257915</v>
      </c>
      <c r="H214" s="5" t="n">
        <f aca="false">SUMIFS(Pareto_Categories!$G$6:$G$84,Pareto_Categories!$B$6:$B$84,D214,Pareto_Categories!$C$6:$C$84,E214)</f>
        <v>4.89526180272377</v>
      </c>
      <c r="I214" s="28" t="n">
        <f aca="false">G214*H214</f>
        <v>0.650977697092957</v>
      </c>
      <c r="J214" s="29" t="n">
        <f aca="false">I214/$I$475</f>
        <v>0.00056271118424018</v>
      </c>
      <c r="K214" s="14" t="n">
        <f aca="false">SUM(J$6:J214)</f>
        <v>0.948763266177128</v>
      </c>
      <c r="L214" s="4" t="str">
        <f aca="false">IF(I214&lt;=0,"-",IF(K214-J214&lt;0.8,"A - top 80%",IF(K214-J214&lt;0.95,"B - next 15%","C - tail")))</f>
        <v>B - next 15%</v>
      </c>
      <c r="M214" s="16" t="n">
        <v>302402.678571429</v>
      </c>
      <c r="N214" s="16" t="n">
        <v>261430.357142857</v>
      </c>
      <c r="O214" s="17" t="n">
        <f aca="false">N214-M214</f>
        <v>-40972.3214285714</v>
      </c>
      <c r="P214" s="14" t="n">
        <f aca="false">IF(M214&lt;1000,"new",R214)</f>
        <v>-0.135489280789865</v>
      </c>
      <c r="Q214" s="4" t="str">
        <f aca="false">IF(LEFT(L214,1)="A",IF(R214&lt;-0.05,"2 FIX","1 PROTECT"),IF(AND(N214&gt;=300000,OR(P214="new",R214&gt;=0.25),LEFT(L214,1)&lt;&gt;"-"),"3 SCALE","4 MAINTAIN"))</f>
        <v>4 MAINTAIN</v>
      </c>
      <c r="R214" s="14" t="n">
        <f aca="false">IF(M214&lt;1000,0,N214/M214-1)</f>
        <v>-0.135489280789865</v>
      </c>
    </row>
    <row r="215" customFormat="false" ht="15" hidden="false" customHeight="false" outlineLevel="0" collapsed="false">
      <c r="A215" s="25" t="n">
        <f aca="false">ROW()-5</f>
        <v>210</v>
      </c>
      <c r="B215" s="4" t="s">
        <v>642</v>
      </c>
      <c r="C215" s="4" t="s">
        <v>473</v>
      </c>
      <c r="D215" s="4" t="s">
        <v>78</v>
      </c>
      <c r="E215" s="4" t="s">
        <v>161</v>
      </c>
      <c r="F215" s="16" t="n">
        <v>179924.107142857</v>
      </c>
      <c r="G215" s="14" t="n">
        <f aca="false">IF(SUMIFS(F$6:F$473,D$6:D$473,D215,E$6:E$473,E215)=0,0,F215/SUMIFS(F$6:F$473,D$6:D$473,D215,E$6:E$473,E215))</f>
        <v>0.0268291454037884</v>
      </c>
      <c r="H215" s="5" t="n">
        <f aca="false">SUMIFS(Pareto_Categories!$G$6:$G$84,Pareto_Categories!$B$6:$B$84,D215,Pareto_Categories!$C$6:$C$84,E215)</f>
        <v>23.2065327013405</v>
      </c>
      <c r="I215" s="28" t="n">
        <f aca="false">G215*H215</f>
        <v>0.622611440162035</v>
      </c>
      <c r="J215" s="29" t="n">
        <f aca="false">I215/$I$475</f>
        <v>0.000538191127560295</v>
      </c>
      <c r="K215" s="14" t="n">
        <f aca="false">SUM(J$6:J215)</f>
        <v>0.949301457304689</v>
      </c>
      <c r="L215" s="4" t="str">
        <f aca="false">IF(I215&lt;=0,"-",IF(K215-J215&lt;0.8,"A - top 80%",IF(K215-J215&lt;0.95,"B - next 15%","C - tail")))</f>
        <v>B - next 15%</v>
      </c>
      <c r="M215" s="16" t="n">
        <v>418955.357142857</v>
      </c>
      <c r="N215" s="16" t="n">
        <v>419892.857142857</v>
      </c>
      <c r="O215" s="17" t="n">
        <f aca="false">N215-M215</f>
        <v>937.5</v>
      </c>
      <c r="P215" s="14" t="n">
        <f aca="false">IF(M215&lt;1000,"new",R215)</f>
        <v>0.00223770858640759</v>
      </c>
      <c r="Q215" s="4" t="str">
        <f aca="false">IF(LEFT(L215,1)="A",IF(R215&lt;-0.05,"2 FIX","1 PROTECT"),IF(AND(N215&gt;=300000,OR(P215="new",R215&gt;=0.25),LEFT(L215,1)&lt;&gt;"-"),"3 SCALE","4 MAINTAIN"))</f>
        <v>4 MAINTAIN</v>
      </c>
      <c r="R215" s="14" t="n">
        <f aca="false">IF(M215&lt;1000,0,N215/M215-1)</f>
        <v>0.00223770858640759</v>
      </c>
    </row>
    <row r="216" customFormat="false" ht="15" hidden="false" customHeight="false" outlineLevel="0" collapsed="false">
      <c r="A216" s="25" t="n">
        <f aca="false">ROW()-5</f>
        <v>211</v>
      </c>
      <c r="B216" s="4" t="s">
        <v>643</v>
      </c>
      <c r="C216" s="4" t="s">
        <v>644</v>
      </c>
      <c r="D216" s="4" t="s">
        <v>78</v>
      </c>
      <c r="E216" s="4" t="s">
        <v>154</v>
      </c>
      <c r="F216" s="16" t="n">
        <v>194107.651785714</v>
      </c>
      <c r="G216" s="14" t="n">
        <f aca="false">IF(SUMIFS(F$6:F$473,D$6:D$473,D216,E$6:E$473,E216)=0,0,F216/SUMIFS(F$6:F$473,D$6:D$473,D216,E$6:E$473,E216))</f>
        <v>0.00517493946614363</v>
      </c>
      <c r="H216" s="5" t="n">
        <f aca="false">SUMIFS(Pareto_Categories!$G$6:$G$84,Pareto_Categories!$B$6:$B$84,D216,Pareto_Categories!$C$6:$C$84,E216)</f>
        <v>120.122971429313</v>
      </c>
      <c r="I216" s="28" t="n">
        <f aca="false">G216*H216</f>
        <v>0.621629105639997</v>
      </c>
      <c r="J216" s="29" t="n">
        <f aca="false">I216/$I$475</f>
        <v>0.000537341988450485</v>
      </c>
      <c r="K216" s="14" t="n">
        <f aca="false">SUM(J$6:J216)</f>
        <v>0.949838799293139</v>
      </c>
      <c r="L216" s="4" t="str">
        <f aca="false">IF(I216&lt;=0,"-",IF(K216-J216&lt;0.8,"A - top 80%",IF(K216-J216&lt;0.95,"B - next 15%","C - tail")))</f>
        <v>B - next 15%</v>
      </c>
      <c r="M216" s="16" t="n">
        <v>0</v>
      </c>
      <c r="N216" s="16" t="n">
        <v>194107.651785714</v>
      </c>
      <c r="O216" s="17" t="n">
        <f aca="false">N216-M216</f>
        <v>194107.651785714</v>
      </c>
      <c r="P216" s="14" t="str">
        <f aca="false">IF(M216&lt;1000,"new",R216)</f>
        <v>new</v>
      </c>
      <c r="Q216" s="4" t="str">
        <f aca="false">IF(LEFT(L216,1)="A",IF(R216&lt;-0.05,"2 FIX","1 PROTECT"),IF(AND(N216&gt;=300000,OR(P216="new",R216&gt;=0.25),LEFT(L216,1)&lt;&gt;"-"),"3 SCALE","4 MAINTAIN"))</f>
        <v>4 MAINTAIN</v>
      </c>
      <c r="R216" s="14" t="n">
        <f aca="false">IF(M216&lt;1000,0,N216/M216-1)</f>
        <v>0</v>
      </c>
    </row>
    <row r="217" customFormat="false" ht="15" hidden="false" customHeight="false" outlineLevel="0" collapsed="false">
      <c r="A217" s="25" t="n">
        <f aca="false">ROW()-5</f>
        <v>212</v>
      </c>
      <c r="B217" s="4" t="s">
        <v>645</v>
      </c>
      <c r="C217" s="4" t="s">
        <v>646</v>
      </c>
      <c r="D217" s="4" t="s">
        <v>78</v>
      </c>
      <c r="E217" s="4" t="s">
        <v>161</v>
      </c>
      <c r="F217" s="16" t="n">
        <v>172930.357142857</v>
      </c>
      <c r="G217" s="14" t="n">
        <f aca="false">IF(SUMIFS(F$6:F$473,D$6:D$473,D217,E$6:E$473,E217)=0,0,F217/SUMIFS(F$6:F$473,D$6:D$473,D217,E$6:E$473,E217))</f>
        <v>0.0257862816172322</v>
      </c>
      <c r="H217" s="5" t="n">
        <f aca="false">SUMIFS(Pareto_Categories!$G$6:$G$84,Pareto_Categories!$B$6:$B$84,D217,Pareto_Categories!$C$6:$C$84,E217)</f>
        <v>23.2065327013405</v>
      </c>
      <c r="I217" s="28" t="n">
        <f aca="false">G217*H217</f>
        <v>0.598410187596274</v>
      </c>
      <c r="J217" s="29" t="n">
        <f aca="false">I217/$I$475</f>
        <v>0.000517271339444374</v>
      </c>
      <c r="K217" s="14" t="n">
        <f aca="false">SUM(J$6:J217)</f>
        <v>0.950356070632584</v>
      </c>
      <c r="L217" s="4" t="str">
        <f aca="false">IF(I217&lt;=0,"-",IF(K217-J217&lt;0.8,"A - top 80%",IF(K217-J217&lt;0.95,"B - next 15%","C - tail")))</f>
        <v>B - next 15%</v>
      </c>
      <c r="M217" s="16" t="n">
        <v>293690.178571429</v>
      </c>
      <c r="N217" s="16" t="n">
        <v>386008.928571429</v>
      </c>
      <c r="O217" s="17" t="n">
        <f aca="false">N217-M217</f>
        <v>92318.75</v>
      </c>
      <c r="P217" s="14" t="n">
        <f aca="false">IF(M217&lt;1000,"new",R217)</f>
        <v>0.314340610397862</v>
      </c>
      <c r="Q217" s="4" t="str">
        <f aca="false">IF(LEFT(L217,1)="A",IF(R217&lt;-0.05,"2 FIX","1 PROTECT"),IF(AND(N217&gt;=300000,OR(P217="new",R217&gt;=0.25),LEFT(L217,1)&lt;&gt;"-"),"3 SCALE","4 MAINTAIN"))</f>
        <v>3 SCALE</v>
      </c>
      <c r="R217" s="14" t="n">
        <f aca="false">IF(M217&lt;1000,0,N217/M217-1)</f>
        <v>0.314340610397862</v>
      </c>
    </row>
    <row r="218" customFormat="false" ht="15" hidden="false" customHeight="false" outlineLevel="0" collapsed="false">
      <c r="A218" s="25" t="n">
        <f aca="false">ROW()-5</f>
        <v>213</v>
      </c>
      <c r="B218" s="4" t="s">
        <v>647</v>
      </c>
      <c r="C218" s="4" t="s">
        <v>648</v>
      </c>
      <c r="D218" s="4" t="s">
        <v>78</v>
      </c>
      <c r="E218" s="4" t="s">
        <v>167</v>
      </c>
      <c r="F218" s="16" t="n">
        <v>160923.214285714</v>
      </c>
      <c r="G218" s="14" t="n">
        <f aca="false">IF(SUMIFS(F$6:F$473,D$6:D$473,D218,E$6:E$473,E218)=0,0,F218/SUMIFS(F$6:F$473,D$6:D$473,D218,E$6:E$473,E218))</f>
        <v>0.118317447825021</v>
      </c>
      <c r="H218" s="5" t="n">
        <f aca="false">SUMIFS(Pareto_Categories!$G$6:$G$84,Pareto_Categories!$B$6:$B$84,D218,Pareto_Categories!$C$6:$C$84,E218)</f>
        <v>5.01387386744405</v>
      </c>
      <c r="I218" s="28" t="n">
        <f aca="false">G218*H218</f>
        <v>0.593228759712549</v>
      </c>
      <c r="J218" s="29" t="n">
        <f aca="false">I218/$I$475</f>
        <v>0.000512792464924515</v>
      </c>
      <c r="K218" s="14" t="n">
        <f aca="false">SUM(J$6:J218)</f>
        <v>0.950868863097508</v>
      </c>
      <c r="L218" s="4" t="str">
        <f aca="false">IF(I218&lt;=0,"-",IF(K218-J218&lt;0.8,"A - top 80%",IF(K218-J218&lt;0.95,"B - next 15%","C - tail")))</f>
        <v>C - tail</v>
      </c>
      <c r="M218" s="16" t="n">
        <v>158244.642857143</v>
      </c>
      <c r="N218" s="16" t="n">
        <v>335404.464285714</v>
      </c>
      <c r="O218" s="17" t="n">
        <f aca="false">N218-M218</f>
        <v>177159.821428571</v>
      </c>
      <c r="P218" s="14" t="n">
        <f aca="false">IF(M218&lt;1000,"new",R218)</f>
        <v>1.11953124118397</v>
      </c>
      <c r="Q218" s="4" t="str">
        <f aca="false">IF(LEFT(L218,1)="A",IF(R218&lt;-0.05,"2 FIX","1 PROTECT"),IF(AND(N218&gt;=300000,OR(P218="new",R218&gt;=0.25),LEFT(L218,1)&lt;&gt;"-"),"3 SCALE","4 MAINTAIN"))</f>
        <v>3 SCALE</v>
      </c>
      <c r="R218" s="14" t="n">
        <f aca="false">IF(M218&lt;1000,0,N218/M218-1)</f>
        <v>1.11953124118397</v>
      </c>
    </row>
    <row r="219" customFormat="false" ht="15" hidden="false" customHeight="false" outlineLevel="0" collapsed="false">
      <c r="A219" s="25" t="n">
        <f aca="false">ROW()-5</f>
        <v>214</v>
      </c>
      <c r="B219" s="4" t="s">
        <v>649</v>
      </c>
      <c r="C219" s="4" t="s">
        <v>650</v>
      </c>
      <c r="D219" s="4" t="s">
        <v>78</v>
      </c>
      <c r="E219" s="4" t="s">
        <v>171</v>
      </c>
      <c r="F219" s="16" t="n">
        <v>200047.669642857</v>
      </c>
      <c r="G219" s="14" t="n">
        <f aca="false">IF(SUMIFS(F$6:F$473,D$6:D$473,D219,E$6:E$473,E219)=0,0,F219/SUMIFS(F$6:F$473,D$6:D$473,D219,E$6:E$473,E219))</f>
        <v>0.325094910171708</v>
      </c>
      <c r="H219" s="5" t="n">
        <f aca="false">SUMIFS(Pareto_Categories!$G$6:$G$84,Pareto_Categories!$B$6:$B$84,D219,Pareto_Categories!$C$6:$C$84,E219)</f>
        <v>1.80666823968793</v>
      </c>
      <c r="I219" s="28" t="n">
        <f aca="false">G219*H219</f>
        <v>0.587338649091426</v>
      </c>
      <c r="J219" s="29" t="n">
        <f aca="false">I219/$I$475</f>
        <v>0.000507700998446141</v>
      </c>
      <c r="K219" s="14" t="n">
        <f aca="false">SUM(J$6:J219)</f>
        <v>0.951376564095954</v>
      </c>
      <c r="L219" s="4" t="str">
        <f aca="false">IF(I219&lt;=0,"-",IF(K219-J219&lt;0.8,"A - top 80%",IF(K219-J219&lt;0.95,"B - next 15%","C - tail")))</f>
        <v>C - tail</v>
      </c>
      <c r="M219" s="16" t="n">
        <v>384501.080357143</v>
      </c>
      <c r="N219" s="16" t="n">
        <v>405732.294642857</v>
      </c>
      <c r="O219" s="17" t="n">
        <f aca="false">N219-M219</f>
        <v>21231.2142857143</v>
      </c>
      <c r="P219" s="14" t="n">
        <f aca="false">IF(M219&lt;1000,"new",R219)</f>
        <v>0.0552175673108479</v>
      </c>
      <c r="Q219" s="4" t="str">
        <f aca="false">IF(LEFT(L219,1)="A",IF(R219&lt;-0.05,"2 FIX","1 PROTECT"),IF(AND(N219&gt;=300000,OR(P219="new",R219&gt;=0.25),LEFT(L219,1)&lt;&gt;"-"),"3 SCALE","4 MAINTAIN"))</f>
        <v>4 MAINTAIN</v>
      </c>
      <c r="R219" s="14" t="n">
        <f aca="false">IF(M219&lt;1000,0,N219/M219-1)</f>
        <v>0.0552175673108479</v>
      </c>
    </row>
    <row r="220" customFormat="false" ht="15" hidden="false" customHeight="false" outlineLevel="0" collapsed="false">
      <c r="A220" s="25" t="n">
        <f aca="false">ROW()-5</f>
        <v>215</v>
      </c>
      <c r="B220" s="4" t="s">
        <v>593</v>
      </c>
      <c r="C220" s="4" t="s">
        <v>594</v>
      </c>
      <c r="D220" s="4" t="s">
        <v>83</v>
      </c>
      <c r="E220" s="4" t="s">
        <v>152</v>
      </c>
      <c r="F220" s="16" t="n">
        <v>3537.5</v>
      </c>
      <c r="G220" s="14" t="n">
        <f aca="false">IF(SUMIFS(F$6:F$473,D$6:D$473,D220,E$6:E$473,E220)=0,0,F220/SUMIFS(F$6:F$473,D$6:D$473,D220,E$6:E$473,E220))</f>
        <v>0.0883783180905644</v>
      </c>
      <c r="H220" s="5" t="n">
        <f aca="false">SUMIFS(Pareto_Categories!$G$6:$G$84,Pareto_Categories!$B$6:$B$84,D220,Pareto_Categories!$C$6:$C$84,E220)</f>
        <v>6.49945641033809</v>
      </c>
      <c r="I220" s="28" t="n">
        <f aca="false">G220*H220</f>
        <v>0.574411026048617</v>
      </c>
      <c r="J220" s="29" t="n">
        <f aca="false">I220/$I$475</f>
        <v>0.000496526240686674</v>
      </c>
      <c r="K220" s="14" t="n">
        <f aca="false">SUM(J$6:J220)</f>
        <v>0.951873090336641</v>
      </c>
      <c r="L220" s="4" t="str">
        <f aca="false">IF(I220&lt;=0,"-",IF(K220-J220&lt;0.8,"A - top 80%",IF(K220-J220&lt;0.95,"B - next 15%","C - tail")))</f>
        <v>C - tail</v>
      </c>
      <c r="M220" s="16" t="n">
        <v>0</v>
      </c>
      <c r="N220" s="16" t="n">
        <v>3537.5</v>
      </c>
      <c r="O220" s="17" t="n">
        <f aca="false">N220-M220</f>
        <v>3537.5</v>
      </c>
      <c r="P220" s="14" t="str">
        <f aca="false">IF(M220&lt;1000,"new",R220)</f>
        <v>new</v>
      </c>
      <c r="Q220" s="4" t="str">
        <f aca="false">IF(LEFT(L220,1)="A",IF(R220&lt;-0.05,"2 FIX","1 PROTECT"),IF(AND(N220&gt;=300000,OR(P220="new",R220&gt;=0.25),LEFT(L220,1)&lt;&gt;"-"),"3 SCALE","4 MAINTAIN"))</f>
        <v>4 MAINTAIN</v>
      </c>
      <c r="R220" s="14" t="n">
        <f aca="false">IF(M220&lt;1000,0,N220/M220-1)</f>
        <v>0</v>
      </c>
    </row>
    <row r="221" customFormat="false" ht="15" hidden="false" customHeight="false" outlineLevel="0" collapsed="false">
      <c r="A221" s="25" t="n">
        <f aca="false">ROW()-5</f>
        <v>216</v>
      </c>
      <c r="B221" s="4" t="s">
        <v>651</v>
      </c>
      <c r="C221" s="4" t="s">
        <v>537</v>
      </c>
      <c r="D221" s="4" t="s">
        <v>78</v>
      </c>
      <c r="E221" s="4" t="s">
        <v>154</v>
      </c>
      <c r="F221" s="16" t="n">
        <v>169803.571428571</v>
      </c>
      <c r="G221" s="14" t="n">
        <f aca="false">IF(SUMIFS(F$6:F$473,D$6:D$473,D221,E$6:E$473,E221)=0,0,F221/SUMIFS(F$6:F$473,D$6:D$473,D221,E$6:E$473,E221))</f>
        <v>0.0045269889939626</v>
      </c>
      <c r="H221" s="5" t="n">
        <f aca="false">SUMIFS(Pareto_Categories!$G$6:$G$84,Pareto_Categories!$B$6:$B$84,D221,Pareto_Categories!$C$6:$C$84,E221)</f>
        <v>120.122971429313</v>
      </c>
      <c r="I221" s="28" t="n">
        <f aca="false">G221*H221</f>
        <v>0.543795369582585</v>
      </c>
      <c r="J221" s="29" t="n">
        <f aca="false">I221/$I$475</f>
        <v>0.000470061782098884</v>
      </c>
      <c r="K221" s="14" t="n">
        <f aca="false">SUM(J$6:J221)</f>
        <v>0.95234315211874</v>
      </c>
      <c r="L221" s="4" t="str">
        <f aca="false">IF(I221&lt;=0,"-",IF(K221-J221&lt;0.8,"A - top 80%",IF(K221-J221&lt;0.95,"B - next 15%","C - tail")))</f>
        <v>C - tail</v>
      </c>
      <c r="M221" s="16" t="n">
        <v>149848.214285714</v>
      </c>
      <c r="N221" s="16" t="n">
        <v>362902.678571429</v>
      </c>
      <c r="O221" s="17" t="n">
        <f aca="false">N221-M221</f>
        <v>213054.464285714</v>
      </c>
      <c r="P221" s="14" t="n">
        <f aca="false">IF(M221&lt;1000,"new",R221)</f>
        <v>1.42180182327355</v>
      </c>
      <c r="Q221" s="4" t="str">
        <f aca="false">IF(LEFT(L221,1)="A",IF(R221&lt;-0.05,"2 FIX","1 PROTECT"),IF(AND(N221&gt;=300000,OR(P221="new",R221&gt;=0.25),LEFT(L221,1)&lt;&gt;"-"),"3 SCALE","4 MAINTAIN"))</f>
        <v>3 SCALE</v>
      </c>
      <c r="R221" s="14" t="n">
        <f aca="false">IF(M221&lt;1000,0,N221/M221-1)</f>
        <v>1.42180182327355</v>
      </c>
    </row>
    <row r="222" customFormat="false" ht="15" hidden="false" customHeight="false" outlineLevel="0" collapsed="false">
      <c r="A222" s="25" t="n">
        <f aca="false">ROW()-5</f>
        <v>217</v>
      </c>
      <c r="B222" s="4" t="s">
        <v>652</v>
      </c>
      <c r="C222" s="4" t="s">
        <v>467</v>
      </c>
      <c r="D222" s="4" t="s">
        <v>78</v>
      </c>
      <c r="E222" s="4" t="s">
        <v>161</v>
      </c>
      <c r="F222" s="16" t="n">
        <v>157083.035714286</v>
      </c>
      <c r="G222" s="14" t="n">
        <f aca="false">IF(SUMIFS(F$6:F$473,D$6:D$473,D222,E$6:E$473,E222)=0,0,F222/SUMIFS(F$6:F$473,D$6:D$473,D222,E$6:E$473,E222))</f>
        <v>0.0234232292302047</v>
      </c>
      <c r="H222" s="5" t="n">
        <f aca="false">SUMIFS(Pareto_Categories!$G$6:$G$84,Pareto_Categories!$B$6:$B$84,D222,Pareto_Categories!$C$6:$C$84,E222)</f>
        <v>23.2065327013405</v>
      </c>
      <c r="I222" s="28" t="n">
        <f aca="false">G222*H222</f>
        <v>0.543571935101741</v>
      </c>
      <c r="J222" s="29" t="n">
        <f aca="false">I222/$I$475</f>
        <v>0.000469868643252688</v>
      </c>
      <c r="K222" s="14" t="n">
        <f aca="false">SUM(J$6:J222)</f>
        <v>0.952813020761993</v>
      </c>
      <c r="L222" s="4" t="str">
        <f aca="false">IF(I222&lt;=0,"-",IF(K222-J222&lt;0.8,"A - top 80%",IF(K222-J222&lt;0.95,"B - next 15%","C - tail")))</f>
        <v>C - tail</v>
      </c>
      <c r="M222" s="16" t="n">
        <v>432583.705357143</v>
      </c>
      <c r="N222" s="16" t="n">
        <v>390467.857142857</v>
      </c>
      <c r="O222" s="17" t="n">
        <f aca="false">N222-M222</f>
        <v>-42115.8482142856</v>
      </c>
      <c r="P222" s="14" t="n">
        <f aca="false">IF(M222&lt;1000,"new",R222)</f>
        <v>-0.0973588410583208</v>
      </c>
      <c r="Q222" s="4" t="str">
        <f aca="false">IF(LEFT(L222,1)="A",IF(R222&lt;-0.05,"2 FIX","1 PROTECT"),IF(AND(N222&gt;=300000,OR(P222="new",R222&gt;=0.25),LEFT(L222,1)&lt;&gt;"-"),"3 SCALE","4 MAINTAIN"))</f>
        <v>4 MAINTAIN</v>
      </c>
      <c r="R222" s="14" t="n">
        <f aca="false">IF(M222&lt;1000,0,N222/M222-1)</f>
        <v>-0.0973588410583208</v>
      </c>
    </row>
    <row r="223" customFormat="false" ht="15" hidden="false" customHeight="false" outlineLevel="0" collapsed="false">
      <c r="A223" s="25" t="n">
        <f aca="false">ROW()-5</f>
        <v>218</v>
      </c>
      <c r="B223" s="4" t="s">
        <v>653</v>
      </c>
      <c r="C223" s="4" t="s">
        <v>429</v>
      </c>
      <c r="D223" s="4" t="s">
        <v>78</v>
      </c>
      <c r="E223" s="4" t="s">
        <v>161</v>
      </c>
      <c r="F223" s="16" t="n">
        <v>155217.857142857</v>
      </c>
      <c r="G223" s="14" t="n">
        <f aca="false">IF(SUMIFS(F$6:F$473,D$6:D$473,D223,E$6:E$473,E223)=0,0,F223/SUMIFS(F$6:F$473,D$6:D$473,D223,E$6:E$473,E223))</f>
        <v>0.0231451055930139</v>
      </c>
      <c r="H223" s="5" t="n">
        <f aca="false">SUMIFS(Pareto_Categories!$G$6:$G$84,Pareto_Categories!$B$6:$B$84,D223,Pareto_Categories!$C$6:$C$84,E223)</f>
        <v>23.2065327013405</v>
      </c>
      <c r="I223" s="28" t="n">
        <f aca="false">G223*H223</f>
        <v>0.537117649820255</v>
      </c>
      <c r="J223" s="29" t="n">
        <f aca="false">I223/$I$475</f>
        <v>0.000464289498943463</v>
      </c>
      <c r="K223" s="14" t="n">
        <f aca="false">SUM(J$6:J223)</f>
        <v>0.953277310260936</v>
      </c>
      <c r="L223" s="4" t="str">
        <f aca="false">IF(I223&lt;=0,"-",IF(K223-J223&lt;0.8,"A - top 80%",IF(K223-J223&lt;0.95,"B - next 15%","C - tail")))</f>
        <v>C - tail</v>
      </c>
      <c r="M223" s="16" t="n">
        <v>608404.464285714</v>
      </c>
      <c r="N223" s="16" t="n">
        <v>349933.928571429</v>
      </c>
      <c r="O223" s="17" t="n">
        <f aca="false">N223-M223</f>
        <v>-258470.535714286</v>
      </c>
      <c r="P223" s="14" t="n">
        <f aca="false">IF(M223&lt;1000,"new",R223)</f>
        <v>-0.42483339766045</v>
      </c>
      <c r="Q223" s="4" t="str">
        <f aca="false">IF(LEFT(L223,1)="A",IF(R223&lt;-0.05,"2 FIX","1 PROTECT"),IF(AND(N223&gt;=300000,OR(P223="new",R223&gt;=0.25),LEFT(L223,1)&lt;&gt;"-"),"3 SCALE","4 MAINTAIN"))</f>
        <v>4 MAINTAIN</v>
      </c>
      <c r="R223" s="14" t="n">
        <f aca="false">IF(M223&lt;1000,0,N223/M223-1)</f>
        <v>-0.42483339766045</v>
      </c>
    </row>
    <row r="224" customFormat="false" ht="15" hidden="false" customHeight="false" outlineLevel="0" collapsed="false">
      <c r="A224" s="25" t="n">
        <f aca="false">ROW()-5</f>
        <v>219</v>
      </c>
      <c r="B224" s="4" t="s">
        <v>654</v>
      </c>
      <c r="C224" s="4" t="s">
        <v>655</v>
      </c>
      <c r="D224" s="4" t="s">
        <v>78</v>
      </c>
      <c r="E224" s="4" t="s">
        <v>169</v>
      </c>
      <c r="F224" s="16" t="n">
        <v>119251.785714286</v>
      </c>
      <c r="G224" s="14" t="n">
        <f aca="false">IF(SUMIFS(F$6:F$473,D$6:D$473,D224,E$6:E$473,E224)=0,0,F224/SUMIFS(F$6:F$473,D$6:D$473,D224,E$6:E$473,E224))</f>
        <v>0.109619644570437</v>
      </c>
      <c r="H224" s="5" t="n">
        <f aca="false">SUMIFS(Pareto_Categories!$G$6:$G$84,Pareto_Categories!$B$6:$B$84,D224,Pareto_Categories!$C$6:$C$84,E224)</f>
        <v>4.89526180272377</v>
      </c>
      <c r="I224" s="28" t="n">
        <f aca="false">G224*H224</f>
        <v>0.536616858893817</v>
      </c>
      <c r="J224" s="29" t="n">
        <f aca="false">I224/$I$475</f>
        <v>0.000463856610602539</v>
      </c>
      <c r="K224" s="14" t="n">
        <f aca="false">SUM(J$6:J224)</f>
        <v>0.953741166871538</v>
      </c>
      <c r="L224" s="4" t="str">
        <f aca="false">IF(I224&lt;=0,"-",IF(K224-J224&lt;0.8,"A - top 80%",IF(K224-J224&lt;0.95,"B - next 15%","C - tail")))</f>
        <v>C - tail</v>
      </c>
      <c r="M224" s="16" t="n">
        <v>267040.178571429</v>
      </c>
      <c r="N224" s="16" t="n">
        <v>238966.964285714</v>
      </c>
      <c r="O224" s="17" t="n">
        <f aca="false">N224-M224</f>
        <v>-28073.2142857142</v>
      </c>
      <c r="P224" s="14" t="n">
        <f aca="false">IF(M224&lt;1000,"new",R224)</f>
        <v>-0.105127304946754</v>
      </c>
      <c r="Q224" s="4" t="str">
        <f aca="false">IF(LEFT(L224,1)="A",IF(R224&lt;-0.05,"2 FIX","1 PROTECT"),IF(AND(N224&gt;=300000,OR(P224="new",R224&gt;=0.25),LEFT(L224,1)&lt;&gt;"-"),"3 SCALE","4 MAINTAIN"))</f>
        <v>4 MAINTAIN</v>
      </c>
      <c r="R224" s="14" t="n">
        <f aca="false">IF(M224&lt;1000,0,N224/M224-1)</f>
        <v>-0.105127304946754</v>
      </c>
    </row>
    <row r="225" customFormat="false" ht="15" hidden="false" customHeight="false" outlineLevel="0" collapsed="false">
      <c r="A225" s="25" t="n">
        <f aca="false">ROW()-5</f>
        <v>220</v>
      </c>
      <c r="B225" s="4" t="s">
        <v>656</v>
      </c>
      <c r="C225" s="4" t="s">
        <v>657</v>
      </c>
      <c r="D225" s="4" t="s">
        <v>78</v>
      </c>
      <c r="E225" s="4" t="s">
        <v>169</v>
      </c>
      <c r="F225" s="16" t="n">
        <v>115516.964285714</v>
      </c>
      <c r="G225" s="14" t="n">
        <f aca="false">IF(SUMIFS(F$6:F$473,D$6:D$473,D225,E$6:E$473,E225)=0,0,F225/SUMIFS(F$6:F$473,D$6:D$473,D225,E$6:E$473,E225))</f>
        <v>0.106186490131015</v>
      </c>
      <c r="H225" s="5" t="n">
        <f aca="false">SUMIFS(Pareto_Categories!$G$6:$G$84,Pareto_Categories!$B$6:$B$84,D225,Pareto_Categories!$C$6:$C$84,E225)</f>
        <v>4.89526180272377</v>
      </c>
      <c r="I225" s="28" t="n">
        <f aca="false">G225*H225</f>
        <v>0.519810669103661</v>
      </c>
      <c r="J225" s="29" t="n">
        <f aca="false">I225/$I$475</f>
        <v>0.00044932918362368</v>
      </c>
      <c r="K225" s="14" t="n">
        <f aca="false">SUM(J$6:J225)</f>
        <v>0.954190496055162</v>
      </c>
      <c r="L225" s="4" t="str">
        <f aca="false">IF(I225&lt;=0,"-",IF(K225-J225&lt;0.8,"A - top 80%",IF(K225-J225&lt;0.95,"B - next 15%","C - tail")))</f>
        <v>C - tail</v>
      </c>
      <c r="M225" s="16" t="n">
        <v>205451.785714286</v>
      </c>
      <c r="N225" s="16" t="n">
        <v>222804.464285714</v>
      </c>
      <c r="O225" s="17" t="n">
        <f aca="false">N225-M225</f>
        <v>17352.6785714286</v>
      </c>
      <c r="P225" s="14" t="n">
        <f aca="false">IF(M225&lt;1000,"new",R225)</f>
        <v>0.0844610744613352</v>
      </c>
      <c r="Q225" s="4" t="str">
        <f aca="false">IF(LEFT(L225,1)="A",IF(R225&lt;-0.05,"2 FIX","1 PROTECT"),IF(AND(N225&gt;=300000,OR(P225="new",R225&gt;=0.25),LEFT(L225,1)&lt;&gt;"-"),"3 SCALE","4 MAINTAIN"))</f>
        <v>4 MAINTAIN</v>
      </c>
      <c r="R225" s="14" t="n">
        <f aca="false">IF(M225&lt;1000,0,N225/M225-1)</f>
        <v>0.0844610744613352</v>
      </c>
    </row>
    <row r="226" customFormat="false" ht="15" hidden="false" customHeight="false" outlineLevel="0" collapsed="false">
      <c r="A226" s="25" t="n">
        <f aca="false">ROW()-5</f>
        <v>221</v>
      </c>
      <c r="B226" s="4" t="s">
        <v>658</v>
      </c>
      <c r="C226" s="4" t="s">
        <v>659</v>
      </c>
      <c r="D226" s="4" t="s">
        <v>78</v>
      </c>
      <c r="E226" s="4" t="s">
        <v>152</v>
      </c>
      <c r="F226" s="16" t="n">
        <v>142748.214285714</v>
      </c>
      <c r="G226" s="14" t="n">
        <f aca="false">IF(SUMIFS(F$6:F$473,D$6:D$473,D226,E$6:E$473,E226)=0,0,F226/SUMIFS(F$6:F$473,D$6:D$473,D226,E$6:E$473,E226))</f>
        <v>0.00294514737527377</v>
      </c>
      <c r="H226" s="5" t="n">
        <f aca="false">SUMIFS(Pareto_Categories!$G$6:$G$84,Pareto_Categories!$B$6:$B$84,D226,Pareto_Categories!$C$6:$C$84,E226)</f>
        <v>175.162640843516</v>
      </c>
      <c r="I226" s="28" t="n">
        <f aca="false">G226*H226</f>
        <v>0.515879791926303</v>
      </c>
      <c r="J226" s="29" t="n">
        <f aca="false">I226/$I$475</f>
        <v>0.000445931296781394</v>
      </c>
      <c r="K226" s="14" t="n">
        <f aca="false">SUM(J$6:J226)</f>
        <v>0.954636427351943</v>
      </c>
      <c r="L226" s="4" t="str">
        <f aca="false">IF(I226&lt;=0,"-",IF(K226-J226&lt;0.8,"A - top 80%",IF(K226-J226&lt;0.95,"B - next 15%","C - tail")))</f>
        <v>C - tail</v>
      </c>
      <c r="M226" s="16" t="n">
        <v>217051.785714286</v>
      </c>
      <c r="N226" s="16" t="n">
        <v>257846.428571429</v>
      </c>
      <c r="O226" s="17" t="n">
        <f aca="false">N226-M226</f>
        <v>40794.6428571428</v>
      </c>
      <c r="P226" s="14" t="n">
        <f aca="false">IF(M226&lt;1000,"new",R226)</f>
        <v>0.187948893039021</v>
      </c>
      <c r="Q226" s="4" t="str">
        <f aca="false">IF(LEFT(L226,1)="A",IF(R226&lt;-0.05,"2 FIX","1 PROTECT"),IF(AND(N226&gt;=300000,OR(P226="new",R226&gt;=0.25),LEFT(L226,1)&lt;&gt;"-"),"3 SCALE","4 MAINTAIN"))</f>
        <v>4 MAINTAIN</v>
      </c>
      <c r="R226" s="14" t="n">
        <f aca="false">IF(M226&lt;1000,0,N226/M226-1)</f>
        <v>0.187948893039021</v>
      </c>
    </row>
    <row r="227" customFormat="false" ht="15" hidden="false" customHeight="false" outlineLevel="0" collapsed="false">
      <c r="A227" s="25" t="n">
        <f aca="false">ROW()-5</f>
        <v>222</v>
      </c>
      <c r="B227" s="4" t="s">
        <v>660</v>
      </c>
      <c r="C227" s="4" t="s">
        <v>661</v>
      </c>
      <c r="D227" s="4" t="s">
        <v>78</v>
      </c>
      <c r="E227" s="4" t="s">
        <v>154</v>
      </c>
      <c r="F227" s="16" t="n">
        <v>160906.25</v>
      </c>
      <c r="G227" s="14" t="n">
        <f aca="false">IF(SUMIFS(F$6:F$473,D$6:D$473,D227,E$6:E$473,E227)=0,0,F227/SUMIFS(F$6:F$473,D$6:D$473,D227,E$6:E$473,E227))</f>
        <v>0.00428978505388038</v>
      </c>
      <c r="H227" s="5" t="n">
        <f aca="false">SUMIFS(Pareto_Categories!$G$6:$G$84,Pareto_Categories!$B$6:$B$84,D227,Pareto_Categories!$C$6:$C$84,E227)</f>
        <v>120.122971429313</v>
      </c>
      <c r="I227" s="28" t="n">
        <f aca="false">G227*H227</f>
        <v>0.515301727465167</v>
      </c>
      <c r="J227" s="29" t="n">
        <f aca="false">I227/$I$475</f>
        <v>0.000445431612477392</v>
      </c>
      <c r="K227" s="14" t="n">
        <f aca="false">SUM(J$6:J227)</f>
        <v>0.955081858964421</v>
      </c>
      <c r="L227" s="4" t="str">
        <f aca="false">IF(I227&lt;=0,"-",IF(K227-J227&lt;0.8,"A - top 80%",IF(K227-J227&lt;0.95,"B - next 15%","C - tail")))</f>
        <v>C - tail</v>
      </c>
      <c r="M227" s="16" t="n">
        <v>318878.571428571</v>
      </c>
      <c r="N227" s="16" t="n">
        <v>348210.714285714</v>
      </c>
      <c r="O227" s="17" t="n">
        <f aca="false">N227-M227</f>
        <v>29332.1428571428</v>
      </c>
      <c r="P227" s="14" t="n">
        <f aca="false">IF(M227&lt;1000,"new",R227)</f>
        <v>0.0919853056470217</v>
      </c>
      <c r="Q227" s="4" t="str">
        <f aca="false">IF(LEFT(L227,1)="A",IF(R227&lt;-0.05,"2 FIX","1 PROTECT"),IF(AND(N227&gt;=300000,OR(P227="new",R227&gt;=0.25),LEFT(L227,1)&lt;&gt;"-"),"3 SCALE","4 MAINTAIN"))</f>
        <v>4 MAINTAIN</v>
      </c>
      <c r="R227" s="14" t="n">
        <f aca="false">IF(M227&lt;1000,0,N227/M227-1)</f>
        <v>0.0919853056470217</v>
      </c>
    </row>
    <row r="228" customFormat="false" ht="15" hidden="false" customHeight="false" outlineLevel="0" collapsed="false">
      <c r="A228" s="25" t="n">
        <f aca="false">ROW()-5</f>
        <v>223</v>
      </c>
      <c r="B228" s="4" t="s">
        <v>662</v>
      </c>
      <c r="C228" s="4" t="s">
        <v>663</v>
      </c>
      <c r="D228" s="4" t="s">
        <v>78</v>
      </c>
      <c r="E228" s="4" t="s">
        <v>154</v>
      </c>
      <c r="F228" s="16" t="n">
        <v>154336.607142857</v>
      </c>
      <c r="G228" s="14" t="n">
        <f aca="false">IF(SUMIFS(F$6:F$473,D$6:D$473,D228,E$6:E$473,E228)=0,0,F228/SUMIFS(F$6:F$473,D$6:D$473,D228,E$6:E$473,E228))</f>
        <v>0.00411463737790195</v>
      </c>
      <c r="H228" s="5" t="n">
        <f aca="false">SUMIFS(Pareto_Categories!$G$6:$G$84,Pareto_Categories!$B$6:$B$84,D228,Pareto_Categories!$C$6:$C$84,E228)</f>
        <v>120.122971429313</v>
      </c>
      <c r="I228" s="28" t="n">
        <f aca="false">G228*H228</f>
        <v>0.4942624681877</v>
      </c>
      <c r="J228" s="29" t="n">
        <f aca="false">I228/$I$475</f>
        <v>0.000427245080809058</v>
      </c>
      <c r="K228" s="14" t="n">
        <f aca="false">SUM(J$6:J228)</f>
        <v>0.95550910404523</v>
      </c>
      <c r="L228" s="4" t="str">
        <f aca="false">IF(I228&lt;=0,"-",IF(K228-J228&lt;0.8,"A - top 80%",IF(K228-J228&lt;0.95,"B - next 15%","C - tail")))</f>
        <v>C - tail</v>
      </c>
      <c r="M228" s="16" t="n">
        <v>288894.642857143</v>
      </c>
      <c r="N228" s="16" t="n">
        <v>247849.553571429</v>
      </c>
      <c r="O228" s="17" t="n">
        <f aca="false">N228-M228</f>
        <v>-41045.0892857142</v>
      </c>
      <c r="P228" s="14" t="n">
        <f aca="false">IF(M228&lt;1000,"new",R228)</f>
        <v>-0.142076325402859</v>
      </c>
      <c r="Q228" s="4" t="str">
        <f aca="false">IF(LEFT(L228,1)="A",IF(R228&lt;-0.05,"2 FIX","1 PROTECT"),IF(AND(N228&gt;=300000,OR(P228="new",R228&gt;=0.25),LEFT(L228,1)&lt;&gt;"-"),"3 SCALE","4 MAINTAIN"))</f>
        <v>4 MAINTAIN</v>
      </c>
      <c r="R228" s="14" t="n">
        <f aca="false">IF(M228&lt;1000,0,N228/M228-1)</f>
        <v>-0.142076325402859</v>
      </c>
    </row>
    <row r="229" customFormat="false" ht="15" hidden="false" customHeight="false" outlineLevel="0" collapsed="false">
      <c r="A229" s="25" t="n">
        <f aca="false">ROW()-5</f>
        <v>224</v>
      </c>
      <c r="B229" s="4" t="s">
        <v>664</v>
      </c>
      <c r="C229" s="4" t="s">
        <v>665</v>
      </c>
      <c r="D229" s="4" t="s">
        <v>78</v>
      </c>
      <c r="E229" s="4" t="s">
        <v>154</v>
      </c>
      <c r="F229" s="16" t="n">
        <v>150763.392857143</v>
      </c>
      <c r="G229" s="14" t="n">
        <f aca="false">IF(SUMIFS(F$6:F$473,D$6:D$473,D229,E$6:E$473,E229)=0,0,F229/SUMIFS(F$6:F$473,D$6:D$473,D229,E$6:E$473,E229))</f>
        <v>0.00401937494255734</v>
      </c>
      <c r="H229" s="5" t="n">
        <f aca="false">SUMIFS(Pareto_Categories!$G$6:$G$84,Pareto_Categories!$B$6:$B$84,D229,Pareto_Categories!$C$6:$C$84,E229)</f>
        <v>120.122971429313</v>
      </c>
      <c r="I229" s="28" t="n">
        <f aca="false">G229*H229</f>
        <v>0.482819261388513</v>
      </c>
      <c r="J229" s="29" t="n">
        <f aca="false">I229/$I$475</f>
        <v>0.00041735346627567</v>
      </c>
      <c r="K229" s="14" t="n">
        <f aca="false">SUM(J$6:J229)</f>
        <v>0.955926457511506</v>
      </c>
      <c r="L229" s="4" t="str">
        <f aca="false">IF(I229&lt;=0,"-",IF(K229-J229&lt;0.8,"A - top 80%",IF(K229-J229&lt;0.95,"B - next 15%","C - tail")))</f>
        <v>C - tail</v>
      </c>
      <c r="M229" s="16" t="n">
        <v>233599.553571429</v>
      </c>
      <c r="N229" s="16" t="n">
        <v>287290.178571429</v>
      </c>
      <c r="O229" s="17" t="n">
        <f aca="false">N229-M229</f>
        <v>53690.6249999999</v>
      </c>
      <c r="P229" s="14" t="n">
        <f aca="false">IF(M229&lt;1000,"new",R229)</f>
        <v>0.229840443524575</v>
      </c>
      <c r="Q229" s="4" t="str">
        <f aca="false">IF(LEFT(L229,1)="A",IF(R229&lt;-0.05,"2 FIX","1 PROTECT"),IF(AND(N229&gt;=300000,OR(P229="new",R229&gt;=0.25),LEFT(L229,1)&lt;&gt;"-"),"3 SCALE","4 MAINTAIN"))</f>
        <v>4 MAINTAIN</v>
      </c>
      <c r="R229" s="14" t="n">
        <f aca="false">IF(M229&lt;1000,0,N229/M229-1)</f>
        <v>0.229840443524575</v>
      </c>
    </row>
    <row r="230" customFormat="false" ht="15" hidden="false" customHeight="false" outlineLevel="0" collapsed="false">
      <c r="A230" s="25" t="n">
        <f aca="false">ROW()-5</f>
        <v>225</v>
      </c>
      <c r="B230" s="4" t="s">
        <v>666</v>
      </c>
      <c r="C230" s="4" t="s">
        <v>667</v>
      </c>
      <c r="D230" s="4" t="s">
        <v>78</v>
      </c>
      <c r="E230" s="4" t="s">
        <v>164</v>
      </c>
      <c r="F230" s="16" t="n">
        <v>119432.428571429</v>
      </c>
      <c r="G230" s="14" t="n">
        <f aca="false">IF(SUMIFS(F$6:F$473,D$6:D$473,D230,E$6:E$473,E230)=0,0,F230/SUMIFS(F$6:F$473,D$6:D$473,D230,E$6:E$473,E230))</f>
        <v>0.0322915888834504</v>
      </c>
      <c r="H230" s="5" t="n">
        <f aca="false">SUMIFS(Pareto_Categories!$G$6:$G$84,Pareto_Categories!$B$6:$B$84,D230,Pareto_Categories!$C$6:$C$84,E230)</f>
        <v>14.7308286998894</v>
      </c>
      <c r="I230" s="28" t="n">
        <f aca="false">G230*H230</f>
        <v>0.475681864289361</v>
      </c>
      <c r="J230" s="29" t="n">
        <f aca="false">I230/$I$475</f>
        <v>0.000411183833749101</v>
      </c>
      <c r="K230" s="14" t="n">
        <f aca="false">SUM(J$6:J230)</f>
        <v>0.956337641345255</v>
      </c>
      <c r="L230" s="4" t="str">
        <f aca="false">IF(I230&lt;=0,"-",IF(K230-J230&lt;0.8,"A - top 80%",IF(K230-J230&lt;0.95,"B - next 15%","C - tail")))</f>
        <v>C - tail</v>
      </c>
      <c r="M230" s="16" t="n">
        <v>454993.241071429</v>
      </c>
      <c r="N230" s="16" t="n">
        <v>262490.464285714</v>
      </c>
      <c r="O230" s="17" t="n">
        <f aca="false">N230-M230</f>
        <v>-192502.776785714</v>
      </c>
      <c r="P230" s="14" t="n">
        <f aca="false">IF(M230&lt;1000,"new",R230)</f>
        <v>-0.423089310804715</v>
      </c>
      <c r="Q230" s="4" t="str">
        <f aca="false">IF(LEFT(L230,1)="A",IF(R230&lt;-0.05,"2 FIX","1 PROTECT"),IF(AND(N230&gt;=300000,OR(P230="new",R230&gt;=0.25),LEFT(L230,1)&lt;&gt;"-"),"3 SCALE","4 MAINTAIN"))</f>
        <v>4 MAINTAIN</v>
      </c>
      <c r="R230" s="14" t="n">
        <f aca="false">IF(M230&lt;1000,0,N230/M230-1)</f>
        <v>-0.423089310804715</v>
      </c>
    </row>
    <row r="231" customFormat="false" ht="15" hidden="false" customHeight="false" outlineLevel="0" collapsed="false">
      <c r="A231" s="25" t="n">
        <f aca="false">ROW()-5</f>
        <v>226</v>
      </c>
      <c r="B231" s="4" t="s">
        <v>561</v>
      </c>
      <c r="C231" s="4" t="s">
        <v>562</v>
      </c>
      <c r="D231" s="4" t="s">
        <v>83</v>
      </c>
      <c r="E231" s="4" t="s">
        <v>165</v>
      </c>
      <c r="F231" s="16" t="n">
        <v>66105.3571428571</v>
      </c>
      <c r="G231" s="14" t="n">
        <f aca="false">IF(SUMIFS(F$6:F$473,D$6:D$473,D231,E$6:E$473,E231)=0,0,F231/SUMIFS(F$6:F$473,D$6:D$473,D231,E$6:E$473,E231))</f>
        <v>0.216154827559025</v>
      </c>
      <c r="H231" s="5" t="n">
        <f aca="false">SUMIFS(Pareto_Categories!$G$6:$G$84,Pareto_Categories!$B$6:$B$84,D231,Pareto_Categories!$C$6:$C$84,E231)</f>
        <v>2.14151466877589</v>
      </c>
      <c r="I231" s="28" t="n">
        <f aca="false">G231*H231</f>
        <v>0.462898733944376</v>
      </c>
      <c r="J231" s="29" t="n">
        <f aca="false">I231/$I$475</f>
        <v>0.000400133976823364</v>
      </c>
      <c r="K231" s="14" t="n">
        <f aca="false">SUM(J$6:J231)</f>
        <v>0.956737775322078</v>
      </c>
      <c r="L231" s="4" t="str">
        <f aca="false">IF(I231&lt;=0,"-",IF(K231-J231&lt;0.8,"A - top 80%",IF(K231-J231&lt;0.95,"B - next 15%","C - tail")))</f>
        <v>C - tail</v>
      </c>
      <c r="M231" s="16" t="n">
        <v>0</v>
      </c>
      <c r="N231" s="16" t="n">
        <v>67096.4285714286</v>
      </c>
      <c r="O231" s="17" t="n">
        <f aca="false">N231-M231</f>
        <v>67096.4285714286</v>
      </c>
      <c r="P231" s="14" t="str">
        <f aca="false">IF(M231&lt;1000,"new",R231)</f>
        <v>new</v>
      </c>
      <c r="Q231" s="4" t="str">
        <f aca="false">IF(LEFT(L231,1)="A",IF(R231&lt;-0.05,"2 FIX","1 PROTECT"),IF(AND(N231&gt;=300000,OR(P231="new",R231&gt;=0.25),LEFT(L231,1)&lt;&gt;"-"),"3 SCALE","4 MAINTAIN"))</f>
        <v>4 MAINTAIN</v>
      </c>
      <c r="R231" s="14" t="n">
        <f aca="false">IF(M231&lt;1000,0,N231/M231-1)</f>
        <v>0</v>
      </c>
    </row>
    <row r="232" customFormat="false" ht="15" hidden="false" customHeight="false" outlineLevel="0" collapsed="false">
      <c r="A232" s="25" t="n">
        <f aca="false">ROW()-5</f>
        <v>227</v>
      </c>
      <c r="B232" s="4" t="s">
        <v>668</v>
      </c>
      <c r="C232" s="4" t="s">
        <v>437</v>
      </c>
      <c r="D232" s="4" t="s">
        <v>78</v>
      </c>
      <c r="E232" s="4" t="s">
        <v>161</v>
      </c>
      <c r="F232" s="16" t="n">
        <v>132970.535714286</v>
      </c>
      <c r="G232" s="14" t="n">
        <f aca="false">IF(SUMIFS(F$6:F$473,D$6:D$473,D232,E$6:E$473,E232)=0,0,F232/SUMIFS(F$6:F$473,D$6:D$473,D232,E$6:E$473,E232))</f>
        <v>0.0198277256658313</v>
      </c>
      <c r="H232" s="5" t="n">
        <f aca="false">SUMIFS(Pareto_Categories!$G$6:$G$84,Pareto_Categories!$B$6:$B$84,D232,Pareto_Categories!$C$6:$C$84,E232)</f>
        <v>23.2065327013405</v>
      </c>
      <c r="I232" s="28" t="n">
        <f aca="false">G232*H232</f>
        <v>0.460132764057322</v>
      </c>
      <c r="J232" s="29" t="n">
        <f aca="false">I232/$I$475</f>
        <v>0.000397743046692167</v>
      </c>
      <c r="K232" s="14" t="n">
        <f aca="false">SUM(J$6:J232)</f>
        <v>0.95713551836877</v>
      </c>
      <c r="L232" s="4" t="str">
        <f aca="false">IF(I232&lt;=0,"-",IF(K232-J232&lt;0.8,"A - top 80%",IF(K232-J232&lt;0.95,"B - next 15%","C - tail")))</f>
        <v>C - tail</v>
      </c>
      <c r="M232" s="16" t="n">
        <v>384957.142857143</v>
      </c>
      <c r="N232" s="16" t="n">
        <v>371116.964285714</v>
      </c>
      <c r="O232" s="17" t="n">
        <f aca="false">N232-M232</f>
        <v>-13840.1785714285</v>
      </c>
      <c r="P232" s="14" t="n">
        <f aca="false">IF(M232&lt;1000,"new",R232)</f>
        <v>-0.035952517905518</v>
      </c>
      <c r="Q232" s="4" t="str">
        <f aca="false">IF(LEFT(L232,1)="A",IF(R232&lt;-0.05,"2 FIX","1 PROTECT"),IF(AND(N232&gt;=300000,OR(P232="new",R232&gt;=0.25),LEFT(L232,1)&lt;&gt;"-"),"3 SCALE","4 MAINTAIN"))</f>
        <v>4 MAINTAIN</v>
      </c>
      <c r="R232" s="14" t="n">
        <f aca="false">IF(M232&lt;1000,0,N232/M232-1)</f>
        <v>-0.035952517905518</v>
      </c>
    </row>
    <row r="233" customFormat="false" ht="15" hidden="false" customHeight="false" outlineLevel="0" collapsed="false">
      <c r="A233" s="25" t="n">
        <f aca="false">ROW()-5</f>
        <v>228</v>
      </c>
      <c r="B233" s="4" t="s">
        <v>492</v>
      </c>
      <c r="C233" s="4" t="s">
        <v>493</v>
      </c>
      <c r="D233" s="4" t="s">
        <v>83</v>
      </c>
      <c r="E233" s="4" t="s">
        <v>179</v>
      </c>
      <c r="F233" s="16" t="n">
        <v>191292.857142857</v>
      </c>
      <c r="G233" s="14" t="n">
        <f aca="false">IF(SUMIFS(F$6:F$473,D$6:D$473,D233,E$6:E$473,E233)=0,0,F233/SUMIFS(F$6:F$473,D$6:D$473,D233,E$6:E$473,E233))</f>
        <v>0.0267743432289147</v>
      </c>
      <c r="H233" s="5" t="n">
        <f aca="false">SUMIFS(Pareto_Categories!$G$6:$G$84,Pareto_Categories!$B$6:$B$84,D233,Pareto_Categories!$C$6:$C$84,E233)</f>
        <v>17.1493362305561</v>
      </c>
      <c r="I233" s="28" t="n">
        <f aca="false">G233*H233</f>
        <v>0.45916221438497</v>
      </c>
      <c r="J233" s="29" t="n">
        <f aca="false">I233/$I$475</f>
        <v>0.000396904094516183</v>
      </c>
      <c r="K233" s="14" t="n">
        <f aca="false">SUM(J$6:J233)</f>
        <v>0.957532422463286</v>
      </c>
      <c r="L233" s="4" t="str">
        <f aca="false">IF(I233&lt;=0,"-",IF(K233-J233&lt;0.8,"A - top 80%",IF(K233-J233&lt;0.95,"B - next 15%","C - tail")))</f>
        <v>C - tail</v>
      </c>
      <c r="M233" s="16" t="n">
        <v>0</v>
      </c>
      <c r="N233" s="16" t="n">
        <v>479888.392857143</v>
      </c>
      <c r="O233" s="17" t="n">
        <f aca="false">N233-M233</f>
        <v>479888.392857143</v>
      </c>
      <c r="P233" s="14" t="str">
        <f aca="false">IF(M233&lt;1000,"new",R233)</f>
        <v>new</v>
      </c>
      <c r="Q233" s="4" t="str">
        <f aca="false">IF(LEFT(L233,1)="A",IF(R233&lt;-0.05,"2 FIX","1 PROTECT"),IF(AND(N233&gt;=300000,OR(P233="new",R233&gt;=0.25),LEFT(L233,1)&lt;&gt;"-"),"3 SCALE","4 MAINTAIN"))</f>
        <v>3 SCALE</v>
      </c>
      <c r="R233" s="14" t="n">
        <f aca="false">IF(M233&lt;1000,0,N233/M233-1)</f>
        <v>0</v>
      </c>
    </row>
    <row r="234" customFormat="false" ht="15" hidden="false" customHeight="false" outlineLevel="0" collapsed="false">
      <c r="A234" s="25" t="n">
        <f aca="false">ROW()-5</f>
        <v>229</v>
      </c>
      <c r="B234" s="4" t="s">
        <v>464</v>
      </c>
      <c r="C234" s="4" t="s">
        <v>465</v>
      </c>
      <c r="D234" s="4" t="s">
        <v>83</v>
      </c>
      <c r="E234" s="4" t="s">
        <v>179</v>
      </c>
      <c r="F234" s="16" t="n">
        <v>191006.25</v>
      </c>
      <c r="G234" s="14" t="n">
        <f aca="false">IF(SUMIFS(F$6:F$473,D$6:D$473,D234,E$6:E$473,E234)=0,0,F234/SUMIFS(F$6:F$473,D$6:D$473,D234,E$6:E$473,E234))</f>
        <v>0.0267342282025132</v>
      </c>
      <c r="H234" s="5" t="n">
        <f aca="false">SUMIFS(Pareto_Categories!$G$6:$G$84,Pareto_Categories!$B$6:$B$84,D234,Pareto_Categories!$C$6:$C$84,E234)</f>
        <v>17.1493362305561</v>
      </c>
      <c r="I234" s="28" t="n">
        <f aca="false">G234*H234</f>
        <v>0.458474268309313</v>
      </c>
      <c r="J234" s="29" t="n">
        <f aca="false">I234/$I$475</f>
        <v>0.000396309427521207</v>
      </c>
      <c r="K234" s="14" t="n">
        <f aca="false">SUM(J$6:J234)</f>
        <v>0.957928731890808</v>
      </c>
      <c r="L234" s="4" t="str">
        <f aca="false">IF(I234&lt;=0,"-",IF(K234-J234&lt;0.8,"A - top 80%",IF(K234-J234&lt;0.95,"B - next 15%","C - tail")))</f>
        <v>C - tail</v>
      </c>
      <c r="M234" s="16" t="n">
        <v>0</v>
      </c>
      <c r="N234" s="16" t="n">
        <v>421979.464285714</v>
      </c>
      <c r="O234" s="17" t="n">
        <f aca="false">N234-M234</f>
        <v>421979.464285714</v>
      </c>
      <c r="P234" s="14" t="str">
        <f aca="false">IF(M234&lt;1000,"new",R234)</f>
        <v>new</v>
      </c>
      <c r="Q234" s="4" t="str">
        <f aca="false">IF(LEFT(L234,1)="A",IF(R234&lt;-0.05,"2 FIX","1 PROTECT"),IF(AND(N234&gt;=300000,OR(P234="new",R234&gt;=0.25),LEFT(L234,1)&lt;&gt;"-"),"3 SCALE","4 MAINTAIN"))</f>
        <v>3 SCALE</v>
      </c>
      <c r="R234" s="14" t="n">
        <f aca="false">IF(M234&lt;1000,0,N234/M234-1)</f>
        <v>0</v>
      </c>
    </row>
    <row r="235" customFormat="false" ht="15" hidden="false" customHeight="false" outlineLevel="0" collapsed="false">
      <c r="A235" s="25" t="n">
        <f aca="false">ROW()-5</f>
        <v>230</v>
      </c>
      <c r="B235" s="4" t="s">
        <v>669</v>
      </c>
      <c r="C235" s="4" t="s">
        <v>670</v>
      </c>
      <c r="D235" s="4" t="s">
        <v>78</v>
      </c>
      <c r="E235" s="4" t="s">
        <v>169</v>
      </c>
      <c r="F235" s="16" t="n">
        <v>95796.4285714286</v>
      </c>
      <c r="G235" s="14" t="n">
        <f aca="false">IF(SUMIFS(F$6:F$473,D$6:D$473,D235,E$6:E$473,E235)=0,0,F235/SUMIFS(F$6:F$473,D$6:D$473,D235,E$6:E$473,E235))</f>
        <v>0.0880588109286424</v>
      </c>
      <c r="H235" s="5" t="n">
        <f aca="false">SUMIFS(Pareto_Categories!$G$6:$G$84,Pareto_Categories!$B$6:$B$84,D235,Pareto_Categories!$C$6:$C$84,E235)</f>
        <v>4.89526180272377</v>
      </c>
      <c r="I235" s="28" t="n">
        <f aca="false">G235*H235</f>
        <v>0.431070933532258</v>
      </c>
      <c r="J235" s="29" t="n">
        <f aca="false">I235/$I$475</f>
        <v>0.000372621729719289</v>
      </c>
      <c r="K235" s="14" t="n">
        <f aca="false">SUM(J$6:J235)</f>
        <v>0.958301353620527</v>
      </c>
      <c r="L235" s="4" t="str">
        <f aca="false">IF(I235&lt;=0,"-",IF(K235-J235&lt;0.8,"A - top 80%",IF(K235-J235&lt;0.95,"B - next 15%","C - tail")))</f>
        <v>C - tail</v>
      </c>
      <c r="M235" s="16" t="n">
        <v>169132.142857143</v>
      </c>
      <c r="N235" s="16" t="n">
        <v>166584.821428571</v>
      </c>
      <c r="O235" s="17" t="n">
        <f aca="false">N235-M235</f>
        <v>-2547.32142857142</v>
      </c>
      <c r="P235" s="14" t="n">
        <f aca="false">IF(M235&lt;1000,"new",R235)</f>
        <v>-0.0150611314061279</v>
      </c>
      <c r="Q235" s="4" t="str">
        <f aca="false">IF(LEFT(L235,1)="A",IF(R235&lt;-0.05,"2 FIX","1 PROTECT"),IF(AND(N235&gt;=300000,OR(P235="new",R235&gt;=0.25),LEFT(L235,1)&lt;&gt;"-"),"3 SCALE","4 MAINTAIN"))</f>
        <v>4 MAINTAIN</v>
      </c>
      <c r="R235" s="14" t="n">
        <f aca="false">IF(M235&lt;1000,0,N235/M235-1)</f>
        <v>-0.0150611314061279</v>
      </c>
    </row>
    <row r="236" customFormat="false" ht="15" hidden="false" customHeight="false" outlineLevel="0" collapsed="false">
      <c r="A236" s="25" t="n">
        <f aca="false">ROW()-5</f>
        <v>231</v>
      </c>
      <c r="B236" s="4" t="s">
        <v>585</v>
      </c>
      <c r="C236" s="4" t="s">
        <v>586</v>
      </c>
      <c r="D236" s="4" t="s">
        <v>83</v>
      </c>
      <c r="E236" s="4" t="s">
        <v>165</v>
      </c>
      <c r="F236" s="16" t="n">
        <v>60625</v>
      </c>
      <c r="G236" s="14" t="n">
        <f aca="false">IF(SUMIFS(F$6:F$473,D$6:D$473,D236,E$6:E$473,E236)=0,0,F236/SUMIFS(F$6:F$473,D$6:D$473,D236,E$6:E$473,E236))</f>
        <v>0.198234863060291</v>
      </c>
      <c r="H236" s="5" t="n">
        <f aca="false">SUMIFS(Pareto_Categories!$G$6:$G$84,Pareto_Categories!$B$6:$B$84,D236,Pareto_Categories!$C$6:$C$84,E236)</f>
        <v>2.14151466877589</v>
      </c>
      <c r="I236" s="28" t="n">
        <f aca="false">G236*H236</f>
        <v>0.424522867106393</v>
      </c>
      <c r="J236" s="29" t="n">
        <f aca="false">I236/$I$475</f>
        <v>0.000366961520115433</v>
      </c>
      <c r="K236" s="14" t="n">
        <f aca="false">SUM(J$6:J236)</f>
        <v>0.958668315140642</v>
      </c>
      <c r="L236" s="4" t="str">
        <f aca="false">IF(I236&lt;=0,"-",IF(K236-J236&lt;0.8,"A - top 80%",IF(K236-J236&lt;0.95,"B - next 15%","C - tail")))</f>
        <v>C - tail</v>
      </c>
      <c r="M236" s="16" t="n">
        <v>0</v>
      </c>
      <c r="N236" s="16" t="n">
        <v>60625</v>
      </c>
      <c r="O236" s="17" t="n">
        <f aca="false">N236-M236</f>
        <v>60625</v>
      </c>
      <c r="P236" s="14" t="str">
        <f aca="false">IF(M236&lt;1000,"new",R236)</f>
        <v>new</v>
      </c>
      <c r="Q236" s="4" t="str">
        <f aca="false">IF(LEFT(L236,1)="A",IF(R236&lt;-0.05,"2 FIX","1 PROTECT"),IF(AND(N236&gt;=300000,OR(P236="new",R236&gt;=0.25),LEFT(L236,1)&lt;&gt;"-"),"3 SCALE","4 MAINTAIN"))</f>
        <v>4 MAINTAIN</v>
      </c>
      <c r="R236" s="14" t="n">
        <f aca="false">IF(M236&lt;1000,0,N236/M236-1)</f>
        <v>0</v>
      </c>
    </row>
    <row r="237" customFormat="false" ht="15" hidden="false" customHeight="false" outlineLevel="0" collapsed="false">
      <c r="A237" s="25" t="n">
        <f aca="false">ROW()-5</f>
        <v>232</v>
      </c>
      <c r="B237" s="4" t="s">
        <v>671</v>
      </c>
      <c r="C237" s="4" t="s">
        <v>672</v>
      </c>
      <c r="D237" s="4" t="s">
        <v>78</v>
      </c>
      <c r="E237" s="4" t="s">
        <v>162</v>
      </c>
      <c r="F237" s="16" t="n">
        <v>134462.5</v>
      </c>
      <c r="G237" s="14" t="n">
        <f aca="false">IF(SUMIFS(F$6:F$473,D$6:D$473,D237,E$6:E$473,E237)=0,0,F237/SUMIFS(F$6:F$473,D$6:D$473,D237,E$6:E$473,E237))</f>
        <v>0.0205701201148973</v>
      </c>
      <c r="H237" s="5" t="n">
        <f aca="false">SUMIFS(Pareto_Categories!$G$6:$G$84,Pareto_Categories!$B$6:$B$84,D237,Pareto_Categories!$C$6:$C$84,E237)</f>
        <v>20.4788803648929</v>
      </c>
      <c r="I237" s="28" t="n">
        <f aca="false">G237*H237</f>
        <v>0.421253028924459</v>
      </c>
      <c r="J237" s="29" t="n">
        <f aca="false">I237/$I$475</f>
        <v>0.000364135041537369</v>
      </c>
      <c r="K237" s="14" t="n">
        <f aca="false">SUM(J$6:J237)</f>
        <v>0.95903245018218</v>
      </c>
      <c r="L237" s="4" t="str">
        <f aca="false">IF(I237&lt;=0,"-",IF(K237-J237&lt;0.8,"A - top 80%",IF(K237-J237&lt;0.95,"B - next 15%","C - tail")))</f>
        <v>C - tail</v>
      </c>
      <c r="M237" s="16" t="n">
        <v>22120.5357142857</v>
      </c>
      <c r="N237" s="16" t="n">
        <v>315791.964285714</v>
      </c>
      <c r="O237" s="17" t="n">
        <f aca="false">N237-M237</f>
        <v>293671.428571429</v>
      </c>
      <c r="P237" s="14" t="n">
        <f aca="false">IF(M237&lt;1000,"new",R237)</f>
        <v>13.2759636730575</v>
      </c>
      <c r="Q237" s="4" t="str">
        <f aca="false">IF(LEFT(L237,1)="A",IF(R237&lt;-0.05,"2 FIX","1 PROTECT"),IF(AND(N237&gt;=300000,OR(P237="new",R237&gt;=0.25),LEFT(L237,1)&lt;&gt;"-"),"3 SCALE","4 MAINTAIN"))</f>
        <v>3 SCALE</v>
      </c>
      <c r="R237" s="14" t="n">
        <f aca="false">IF(M237&lt;1000,0,N237/M237-1)</f>
        <v>13.2759636730575</v>
      </c>
    </row>
    <row r="238" customFormat="false" ht="15" hidden="false" customHeight="false" outlineLevel="0" collapsed="false">
      <c r="A238" s="25" t="n">
        <f aca="false">ROW()-5</f>
        <v>233</v>
      </c>
      <c r="B238" s="4" t="s">
        <v>673</v>
      </c>
      <c r="C238" s="4" t="s">
        <v>674</v>
      </c>
      <c r="D238" s="4" t="s">
        <v>78</v>
      </c>
      <c r="E238" s="4" t="s">
        <v>166</v>
      </c>
      <c r="F238" s="16" t="n">
        <v>105373.214285714</v>
      </c>
      <c r="G238" s="14" t="n">
        <f aca="false">IF(SUMIFS(F$6:F$473,D$6:D$473,D238,E$6:E$473,E238)=0,0,F238/SUMIFS(F$6:F$473,D$6:D$473,D238,E$6:E$473,E238))</f>
        <v>0.0310473974676522</v>
      </c>
      <c r="H238" s="5" t="n">
        <f aca="false">SUMIFS(Pareto_Categories!$G$6:$G$84,Pareto_Categories!$B$6:$B$84,D238,Pareto_Categories!$C$6:$C$84,E238)</f>
        <v>13.503490691206</v>
      </c>
      <c r="I238" s="28" t="n">
        <f aca="false">G238*H238</f>
        <v>0.419248242690613</v>
      </c>
      <c r="J238" s="29" t="n">
        <f aca="false">I238/$I$475</f>
        <v>0.000362402085645281</v>
      </c>
      <c r="K238" s="14" t="n">
        <f aca="false">SUM(J$6:J238)</f>
        <v>0.959394852267825</v>
      </c>
      <c r="L238" s="4" t="str">
        <f aca="false">IF(I238&lt;=0,"-",IF(K238-J238&lt;0.8,"A - top 80%",IF(K238-J238&lt;0.95,"B - next 15%","C - tail")))</f>
        <v>C - tail</v>
      </c>
      <c r="M238" s="16" t="n">
        <v>232670.535714286</v>
      </c>
      <c r="N238" s="16" t="n">
        <v>196214.285714286</v>
      </c>
      <c r="O238" s="17" t="n">
        <f aca="false">N238-M238</f>
        <v>-36456.25</v>
      </c>
      <c r="P238" s="14" t="n">
        <f aca="false">IF(M238&lt;1000,"new",R238)</f>
        <v>-0.156686148025066</v>
      </c>
      <c r="Q238" s="4" t="str">
        <f aca="false">IF(LEFT(L238,1)="A",IF(R238&lt;-0.05,"2 FIX","1 PROTECT"),IF(AND(N238&gt;=300000,OR(P238="new",R238&gt;=0.25),LEFT(L238,1)&lt;&gt;"-"),"3 SCALE","4 MAINTAIN"))</f>
        <v>4 MAINTAIN</v>
      </c>
      <c r="R238" s="14" t="n">
        <f aca="false">IF(M238&lt;1000,0,N238/M238-1)</f>
        <v>-0.156686148025066</v>
      </c>
    </row>
    <row r="239" customFormat="false" ht="15" hidden="false" customHeight="false" outlineLevel="0" collapsed="false">
      <c r="A239" s="25" t="n">
        <f aca="false">ROW()-5</f>
        <v>234</v>
      </c>
      <c r="B239" s="4" t="s">
        <v>675</v>
      </c>
      <c r="C239" s="4" t="s">
        <v>676</v>
      </c>
      <c r="D239" s="4" t="s">
        <v>78</v>
      </c>
      <c r="E239" s="4" t="s">
        <v>169</v>
      </c>
      <c r="F239" s="16" t="n">
        <v>92057.1428571429</v>
      </c>
      <c r="G239" s="14" t="n">
        <f aca="false">IF(SUMIFS(F$6:F$473,D$6:D$473,D239,E$6:E$473,E239)=0,0,F239/SUMIFS(F$6:F$473,D$6:D$473,D239,E$6:E$473,E239))</f>
        <v>0.0846215527903921</v>
      </c>
      <c r="H239" s="5" t="n">
        <f aca="false">SUMIFS(Pareto_Categories!$G$6:$G$84,Pareto_Categories!$B$6:$B$84,D239,Pareto_Categories!$C$6:$C$84,E239)</f>
        <v>4.89526180272377</v>
      </c>
      <c r="I239" s="28" t="n">
        <f aca="false">G239*H239</f>
        <v>0.41424465506198</v>
      </c>
      <c r="J239" s="29" t="n">
        <f aca="false">I239/$I$475</f>
        <v>0.000358076937898236</v>
      </c>
      <c r="K239" s="14" t="n">
        <f aca="false">SUM(J$6:J239)</f>
        <v>0.959752929205723</v>
      </c>
      <c r="L239" s="4" t="str">
        <f aca="false">IF(I239&lt;=0,"-",IF(K239-J239&lt;0.8,"A - top 80%",IF(K239-J239&lt;0.95,"B - next 15%","C - tail")))</f>
        <v>C - tail</v>
      </c>
      <c r="M239" s="16" t="n">
        <v>207833.928571429</v>
      </c>
      <c r="N239" s="16" t="n">
        <v>186583.035714286</v>
      </c>
      <c r="O239" s="17" t="n">
        <f aca="false">N239-M239</f>
        <v>-21250.8928571429</v>
      </c>
      <c r="P239" s="14" t="n">
        <f aca="false">IF(M239&lt;1000,"new",R239)</f>
        <v>-0.10224939211424</v>
      </c>
      <c r="Q239" s="4" t="str">
        <f aca="false">IF(LEFT(L239,1)="A",IF(R239&lt;-0.05,"2 FIX","1 PROTECT"),IF(AND(N239&gt;=300000,OR(P239="new",R239&gt;=0.25),LEFT(L239,1)&lt;&gt;"-"),"3 SCALE","4 MAINTAIN"))</f>
        <v>4 MAINTAIN</v>
      </c>
      <c r="R239" s="14" t="n">
        <f aca="false">IF(M239&lt;1000,0,N239/M239-1)</f>
        <v>-0.10224939211424</v>
      </c>
    </row>
    <row r="240" customFormat="false" ht="15" hidden="false" customHeight="false" outlineLevel="0" collapsed="false">
      <c r="A240" s="25" t="n">
        <f aca="false">ROW()-5</f>
        <v>235</v>
      </c>
      <c r="B240" s="4" t="s">
        <v>424</v>
      </c>
      <c r="C240" s="4" t="s">
        <v>425</v>
      </c>
      <c r="D240" s="4" t="s">
        <v>83</v>
      </c>
      <c r="E240" s="4" t="s">
        <v>179</v>
      </c>
      <c r="F240" s="16" t="n">
        <v>170762.5</v>
      </c>
      <c r="G240" s="14" t="n">
        <f aca="false">IF(SUMIFS(F$6:F$473,D$6:D$473,D240,E$6:E$473,E240)=0,0,F240/SUMIFS(F$6:F$473,D$6:D$473,D240,E$6:E$473,E240))</f>
        <v>0.0239008076616951</v>
      </c>
      <c r="H240" s="5" t="n">
        <f aca="false">SUMIFS(Pareto_Categories!$G$6:$G$84,Pareto_Categories!$B$6:$B$84,D240,Pareto_Categories!$C$6:$C$84,E240)</f>
        <v>17.1493362305561</v>
      </c>
      <c r="I240" s="28" t="n">
        <f aca="false">G240*H240</f>
        <v>0.40988298677226</v>
      </c>
      <c r="J240" s="29" t="n">
        <f aca="false">I240/$I$475</f>
        <v>0.000354306671206257</v>
      </c>
      <c r="K240" s="14" t="n">
        <f aca="false">SUM(J$6:J240)</f>
        <v>0.96010723587693</v>
      </c>
      <c r="L240" s="4" t="str">
        <f aca="false">IF(I240&lt;=0,"-",IF(K240-J240&lt;0.8,"A - top 80%",IF(K240-J240&lt;0.95,"B - next 15%","C - tail")))</f>
        <v>C - tail</v>
      </c>
      <c r="M240" s="16" t="n">
        <v>596700</v>
      </c>
      <c r="N240" s="16" t="n">
        <v>428731.25</v>
      </c>
      <c r="O240" s="17" t="n">
        <f aca="false">N240-M240</f>
        <v>-167968.75</v>
      </c>
      <c r="P240" s="14" t="n">
        <f aca="false">IF(M240&lt;1000,"new",R240)</f>
        <v>-0.281496145466734</v>
      </c>
      <c r="Q240" s="4" t="str">
        <f aca="false">IF(LEFT(L240,1)="A",IF(R240&lt;-0.05,"2 FIX","1 PROTECT"),IF(AND(N240&gt;=300000,OR(P240="new",R240&gt;=0.25),LEFT(L240,1)&lt;&gt;"-"),"3 SCALE","4 MAINTAIN"))</f>
        <v>4 MAINTAIN</v>
      </c>
      <c r="R240" s="14" t="n">
        <f aca="false">IF(M240&lt;1000,0,N240/M240-1)</f>
        <v>-0.281496145466734</v>
      </c>
    </row>
    <row r="241" customFormat="false" ht="15" hidden="false" customHeight="false" outlineLevel="0" collapsed="false">
      <c r="A241" s="25" t="n">
        <f aca="false">ROW()-5</f>
        <v>236</v>
      </c>
      <c r="B241" s="4" t="s">
        <v>677</v>
      </c>
      <c r="C241" s="4" t="s">
        <v>678</v>
      </c>
      <c r="D241" s="4" t="s">
        <v>78</v>
      </c>
      <c r="E241" s="4" t="s">
        <v>157</v>
      </c>
      <c r="F241" s="16" t="n">
        <v>134733.928571429</v>
      </c>
      <c r="G241" s="14" t="n">
        <f aca="false">IF(SUMIFS(F$6:F$473,D$6:D$473,D241,E$6:E$473,E241)=0,0,F241/SUMIFS(F$6:F$473,D$6:D$473,D241,E$6:E$473,E241))</f>
        <v>0.0104355346042734</v>
      </c>
      <c r="H241" s="5" t="n">
        <f aca="false">SUMIFS(Pareto_Categories!$G$6:$G$84,Pareto_Categories!$B$6:$B$84,D241,Pareto_Categories!$C$6:$C$84,E241)</f>
        <v>38.9811115222903</v>
      </c>
      <c r="I241" s="28" t="n">
        <f aca="false">G241*H241</f>
        <v>0.406788738203902</v>
      </c>
      <c r="J241" s="29" t="n">
        <f aca="false">I241/$I$475</f>
        <v>0.000351631973925521</v>
      </c>
      <c r="K241" s="14" t="n">
        <f aca="false">SUM(J$6:J241)</f>
        <v>0.960458867850855</v>
      </c>
      <c r="L241" s="4" t="str">
        <f aca="false">IF(I241&lt;=0,"-",IF(K241-J241&lt;0.8,"A - top 80%",IF(K241-J241&lt;0.95,"B - next 15%","C - tail")))</f>
        <v>C - tail</v>
      </c>
      <c r="M241" s="16" t="n">
        <v>261599.107142857</v>
      </c>
      <c r="N241" s="16" t="n">
        <v>257415.178571429</v>
      </c>
      <c r="O241" s="17" t="n">
        <f aca="false">N241-M241</f>
        <v>-4183.92857142861</v>
      </c>
      <c r="P241" s="14" t="n">
        <f aca="false">IF(M241&lt;1000,"new",R241)</f>
        <v>-0.0159936653344303</v>
      </c>
      <c r="Q241" s="4" t="str">
        <f aca="false">IF(LEFT(L241,1)="A",IF(R241&lt;-0.05,"2 FIX","1 PROTECT"),IF(AND(N241&gt;=300000,OR(P241="new",R241&gt;=0.25),LEFT(L241,1)&lt;&gt;"-"),"3 SCALE","4 MAINTAIN"))</f>
        <v>4 MAINTAIN</v>
      </c>
      <c r="R241" s="14" t="n">
        <f aca="false">IF(M241&lt;1000,0,N241/M241-1)</f>
        <v>-0.0159936653344303</v>
      </c>
    </row>
    <row r="242" customFormat="false" ht="15" hidden="false" customHeight="false" outlineLevel="0" collapsed="false">
      <c r="A242" s="25" t="n">
        <f aca="false">ROW()-5</f>
        <v>237</v>
      </c>
      <c r="B242" s="4" t="s">
        <v>679</v>
      </c>
      <c r="C242" s="4" t="s">
        <v>680</v>
      </c>
      <c r="D242" s="4" t="s">
        <v>78</v>
      </c>
      <c r="E242" s="4" t="s">
        <v>170</v>
      </c>
      <c r="F242" s="16" t="n">
        <v>139189.285714286</v>
      </c>
      <c r="G242" s="14" t="n">
        <f aca="false">IF(SUMIFS(F$6:F$473,D$6:D$473,D242,E$6:E$473,E242)=0,0,F242/SUMIFS(F$6:F$473,D$6:D$473,D242,E$6:E$473,E242))</f>
        <v>0.183156399753681</v>
      </c>
      <c r="H242" s="5" t="n">
        <f aca="false">SUMIFS(Pareto_Categories!$G$6:$G$84,Pareto_Categories!$B$6:$B$84,D242,Pareto_Categories!$C$6:$C$84,E242)</f>
        <v>2.21636597325937</v>
      </c>
      <c r="I242" s="28" t="n">
        <f aca="false">G242*H242</f>
        <v>0.40594161219875</v>
      </c>
      <c r="J242" s="29" t="n">
        <f aca="false">I242/$I$475</f>
        <v>0.000350899710316969</v>
      </c>
      <c r="K242" s="14" t="n">
        <f aca="false">SUM(J$6:J242)</f>
        <v>0.960809767561172</v>
      </c>
      <c r="L242" s="4" t="str">
        <f aca="false">IF(I242&lt;=0,"-",IF(K242-J242&lt;0.8,"A - top 80%",IF(K242-J242&lt;0.95,"B - next 15%","C - tail")))</f>
        <v>C - tail</v>
      </c>
      <c r="M242" s="16" t="n">
        <v>374973.214285714</v>
      </c>
      <c r="N242" s="16" t="n">
        <v>303784.026785714</v>
      </c>
      <c r="O242" s="17" t="n">
        <f aca="false">N242-M242</f>
        <v>-71189.1874999999</v>
      </c>
      <c r="P242" s="14" t="n">
        <f aca="false">IF(M242&lt;1000,"new",R242)</f>
        <v>-0.189851394147201</v>
      </c>
      <c r="Q242" s="4" t="str">
        <f aca="false">IF(LEFT(L242,1)="A",IF(R242&lt;-0.05,"2 FIX","1 PROTECT"),IF(AND(N242&gt;=300000,OR(P242="new",R242&gt;=0.25),LEFT(L242,1)&lt;&gt;"-"),"3 SCALE","4 MAINTAIN"))</f>
        <v>4 MAINTAIN</v>
      </c>
      <c r="R242" s="14" t="n">
        <f aca="false">IF(M242&lt;1000,0,N242/M242-1)</f>
        <v>-0.189851394147201</v>
      </c>
    </row>
    <row r="243" customFormat="false" ht="15" hidden="false" customHeight="false" outlineLevel="0" collapsed="false">
      <c r="A243" s="25" t="n">
        <f aca="false">ROW()-5</f>
        <v>238</v>
      </c>
      <c r="B243" s="4" t="s">
        <v>681</v>
      </c>
      <c r="C243" s="4" t="s">
        <v>682</v>
      </c>
      <c r="D243" s="4" t="s">
        <v>78</v>
      </c>
      <c r="E243" s="4" t="s">
        <v>170</v>
      </c>
      <c r="F243" s="16" t="n">
        <v>139084.821428571</v>
      </c>
      <c r="G243" s="14" t="n">
        <f aca="false">IF(SUMIFS(F$6:F$473,D$6:D$473,D243,E$6:E$473,E243)=0,0,F243/SUMIFS(F$6:F$473,D$6:D$473,D243,E$6:E$473,E243))</f>
        <v>0.183018937287543</v>
      </c>
      <c r="H243" s="5" t="n">
        <f aca="false">SUMIFS(Pareto_Categories!$G$6:$G$84,Pareto_Categories!$B$6:$B$84,D243,Pareto_Categories!$C$6:$C$84,E243)</f>
        <v>2.21636597325937</v>
      </c>
      <c r="I243" s="28" t="n">
        <f aca="false">G243*H243</f>
        <v>0.405636945066201</v>
      </c>
      <c r="J243" s="29" t="n">
        <f aca="false">I243/$I$475</f>
        <v>0.000350636353210081</v>
      </c>
      <c r="K243" s="14" t="n">
        <f aca="false">SUM(J$6:J243)</f>
        <v>0.961160403914382</v>
      </c>
      <c r="L243" s="4" t="str">
        <f aca="false">IF(I243&lt;=0,"-",IF(K243-J243&lt;0.8,"A - top 80%",IF(K243-J243&lt;0.95,"B - next 15%","C - tail")))</f>
        <v>C - tail</v>
      </c>
      <c r="M243" s="16" t="n">
        <v>269794.642857143</v>
      </c>
      <c r="N243" s="16" t="n">
        <v>276554.464285714</v>
      </c>
      <c r="O243" s="17" t="n">
        <f aca="false">N243-M243</f>
        <v>6759.82142857154</v>
      </c>
      <c r="P243" s="14" t="n">
        <f aca="false">IF(M243&lt;1000,"new",R243)</f>
        <v>0.0250554323725058</v>
      </c>
      <c r="Q243" s="4" t="str">
        <f aca="false">IF(LEFT(L243,1)="A",IF(R243&lt;-0.05,"2 FIX","1 PROTECT"),IF(AND(N243&gt;=300000,OR(P243="new",R243&gt;=0.25),LEFT(L243,1)&lt;&gt;"-"),"3 SCALE","4 MAINTAIN"))</f>
        <v>4 MAINTAIN</v>
      </c>
      <c r="R243" s="14" t="n">
        <f aca="false">IF(M243&lt;1000,0,N243/M243-1)</f>
        <v>0.0250554323725058</v>
      </c>
    </row>
    <row r="244" customFormat="false" ht="15" hidden="false" customHeight="false" outlineLevel="0" collapsed="false">
      <c r="A244" s="25" t="n">
        <f aca="false">ROW()-5</f>
        <v>239</v>
      </c>
      <c r="B244" s="4" t="s">
        <v>683</v>
      </c>
      <c r="C244" s="4" t="s">
        <v>682</v>
      </c>
      <c r="D244" s="4" t="s">
        <v>78</v>
      </c>
      <c r="E244" s="4" t="s">
        <v>170</v>
      </c>
      <c r="F244" s="16" t="n">
        <v>138364.285714286</v>
      </c>
      <c r="G244" s="14" t="n">
        <f aca="false">IF(SUMIFS(F$6:F$473,D$6:D$473,D244,E$6:E$473,E244)=0,0,F244/SUMIFS(F$6:F$473,D$6:D$473,D244,E$6:E$473,E244))</f>
        <v>0.182070798739053</v>
      </c>
      <c r="H244" s="5" t="n">
        <f aca="false">SUMIFS(Pareto_Categories!$G$6:$G$84,Pareto_Categories!$B$6:$B$84,D244,Pareto_Categories!$C$6:$C$84,E244)</f>
        <v>2.21636597325937</v>
      </c>
      <c r="I244" s="28" t="n">
        <f aca="false">G244*H244</f>
        <v>0.403535523049392</v>
      </c>
      <c r="J244" s="29" t="n">
        <f aca="false">I244/$I$475</f>
        <v>0.000348819864447182</v>
      </c>
      <c r="K244" s="14" t="n">
        <f aca="false">SUM(J$6:J244)</f>
        <v>0.961509223778829</v>
      </c>
      <c r="L244" s="4" t="str">
        <f aca="false">IF(I244&lt;=0,"-",IF(K244-J244&lt;0.8,"A - top 80%",IF(K244-J244&lt;0.95,"B - next 15%","C - tail")))</f>
        <v>C - tail</v>
      </c>
      <c r="M244" s="16" t="n">
        <v>216214.285714286</v>
      </c>
      <c r="N244" s="16" t="n">
        <v>272721.428571429</v>
      </c>
      <c r="O244" s="17" t="n">
        <f aca="false">N244-M244</f>
        <v>56507.1428571428</v>
      </c>
      <c r="P244" s="14" t="n">
        <f aca="false">IF(M244&lt;1000,"new",R244)</f>
        <v>0.261347869177403</v>
      </c>
      <c r="Q244" s="4" t="str">
        <f aca="false">IF(LEFT(L244,1)="A",IF(R244&lt;-0.05,"2 FIX","1 PROTECT"),IF(AND(N244&gt;=300000,OR(P244="new",R244&gt;=0.25),LEFT(L244,1)&lt;&gt;"-"),"3 SCALE","4 MAINTAIN"))</f>
        <v>4 MAINTAIN</v>
      </c>
      <c r="R244" s="14" t="n">
        <f aca="false">IF(M244&lt;1000,0,N244/M244-1)</f>
        <v>0.261347869177403</v>
      </c>
    </row>
    <row r="245" customFormat="false" ht="15" hidden="false" customHeight="false" outlineLevel="0" collapsed="false">
      <c r="A245" s="25" t="n">
        <f aca="false">ROW()-5</f>
        <v>240</v>
      </c>
      <c r="B245" s="4" t="s">
        <v>684</v>
      </c>
      <c r="C245" s="4" t="s">
        <v>685</v>
      </c>
      <c r="D245" s="4" t="s">
        <v>78</v>
      </c>
      <c r="E245" s="4" t="s">
        <v>167</v>
      </c>
      <c r="F245" s="16" t="n">
        <v>106893.75</v>
      </c>
      <c r="G245" s="14" t="n">
        <f aca="false">IF(SUMIFS(F$6:F$473,D$6:D$473,D245,E$6:E$473,E245)=0,0,F245/SUMIFS(F$6:F$473,D$6:D$473,D245,E$6:E$473,E245))</f>
        <v>0.0785927359491515</v>
      </c>
      <c r="H245" s="5" t="n">
        <f aca="false">SUMIFS(Pareto_Categories!$G$6:$G$84,Pareto_Categories!$B$6:$B$84,D245,Pareto_Categories!$C$6:$C$84,E245)</f>
        <v>5.01387386744405</v>
      </c>
      <c r="I245" s="28" t="n">
        <f aca="false">G245*H245</f>
        <v>0.394054064946381</v>
      </c>
      <c r="J245" s="29" t="n">
        <f aca="false">I245/$I$475</f>
        <v>0.000340624003757492</v>
      </c>
      <c r="K245" s="14" t="n">
        <f aca="false">SUM(J$6:J245)</f>
        <v>0.961849847782587</v>
      </c>
      <c r="L245" s="4" t="str">
        <f aca="false">IF(I245&lt;=0,"-",IF(K245-J245&lt;0.8,"A - top 80%",IF(K245-J245&lt;0.95,"B - next 15%","C - tail")))</f>
        <v>C - tail</v>
      </c>
      <c r="M245" s="16" t="n">
        <v>105994.642857143</v>
      </c>
      <c r="N245" s="16" t="n">
        <v>203311.607142857</v>
      </c>
      <c r="O245" s="17" t="n">
        <f aca="false">N245-M245</f>
        <v>97316.9642857143</v>
      </c>
      <c r="P245" s="14" t="n">
        <f aca="false">IF(M245&lt;1000,"new",R245)</f>
        <v>0.918130970230976</v>
      </c>
      <c r="Q245" s="4" t="str">
        <f aca="false">IF(LEFT(L245,1)="A",IF(R245&lt;-0.05,"2 FIX","1 PROTECT"),IF(AND(N245&gt;=300000,OR(P245="new",R245&gt;=0.25),LEFT(L245,1)&lt;&gt;"-"),"3 SCALE","4 MAINTAIN"))</f>
        <v>4 MAINTAIN</v>
      </c>
      <c r="R245" s="14" t="n">
        <f aca="false">IF(M245&lt;1000,0,N245/M245-1)</f>
        <v>0.918130970230976</v>
      </c>
    </row>
    <row r="246" customFormat="false" ht="15" hidden="false" customHeight="false" outlineLevel="0" collapsed="false">
      <c r="A246" s="25" t="n">
        <f aca="false">ROW()-5</f>
        <v>241</v>
      </c>
      <c r="B246" s="4" t="s">
        <v>522</v>
      </c>
      <c r="C246" s="4" t="s">
        <v>523</v>
      </c>
      <c r="D246" s="4" t="s">
        <v>83</v>
      </c>
      <c r="E246" s="4" t="s">
        <v>179</v>
      </c>
      <c r="F246" s="16" t="n">
        <v>162174.107142857</v>
      </c>
      <c r="G246" s="14" t="n">
        <f aca="false">IF(SUMIFS(F$6:F$473,D$6:D$473,D246,E$6:E$473,E246)=0,0,F246/SUMIFS(F$6:F$473,D$6:D$473,D246,E$6:E$473,E246))</f>
        <v>0.0226987315278739</v>
      </c>
      <c r="H246" s="5" t="n">
        <f aca="false">SUMIFS(Pareto_Categories!$G$6:$G$84,Pareto_Categories!$B$6:$B$84,D246,Pareto_Categories!$C$6:$C$84,E246)</f>
        <v>17.1493362305561</v>
      </c>
      <c r="I246" s="28" t="n">
        <f aca="false">G246*H246</f>
        <v>0.389268178978633</v>
      </c>
      <c r="J246" s="29" t="n">
        <f aca="false">I246/$I$475</f>
        <v>0.000336487039353678</v>
      </c>
      <c r="K246" s="14" t="n">
        <f aca="false">SUM(J$6:J246)</f>
        <v>0.96218633482194</v>
      </c>
      <c r="L246" s="4" t="str">
        <f aca="false">IF(I246&lt;=0,"-",IF(K246-J246&lt;0.8,"A - top 80%",IF(K246-J246&lt;0.95,"B - next 15%","C - tail")))</f>
        <v>C - tail</v>
      </c>
      <c r="M246" s="16" t="n">
        <v>521167.857142857</v>
      </c>
      <c r="N246" s="16" t="n">
        <v>400592.857142857</v>
      </c>
      <c r="O246" s="17" t="n">
        <f aca="false">N246-M246</f>
        <v>-120575</v>
      </c>
      <c r="P246" s="14" t="n">
        <f aca="false">IF(M246&lt;1000,"new",R246)</f>
        <v>-0.231355403729262</v>
      </c>
      <c r="Q246" s="4" t="str">
        <f aca="false">IF(LEFT(L246,1)="A",IF(R246&lt;-0.05,"2 FIX","1 PROTECT"),IF(AND(N246&gt;=300000,OR(P246="new",R246&gt;=0.25),LEFT(L246,1)&lt;&gt;"-"),"3 SCALE","4 MAINTAIN"))</f>
        <v>4 MAINTAIN</v>
      </c>
      <c r="R246" s="14" t="n">
        <f aca="false">IF(M246&lt;1000,0,N246/M246-1)</f>
        <v>-0.231355403729262</v>
      </c>
    </row>
    <row r="247" customFormat="false" ht="15" hidden="false" customHeight="false" outlineLevel="0" collapsed="false">
      <c r="A247" s="25" t="n">
        <f aca="false">ROW()-5</f>
        <v>242</v>
      </c>
      <c r="B247" s="4" t="s">
        <v>480</v>
      </c>
      <c r="C247" s="4" t="s">
        <v>481</v>
      </c>
      <c r="D247" s="4" t="s">
        <v>83</v>
      </c>
      <c r="E247" s="4" t="s">
        <v>179</v>
      </c>
      <c r="F247" s="16" t="n">
        <v>161772.321428571</v>
      </c>
      <c r="G247" s="14" t="n">
        <f aca="false">IF(SUMIFS(F$6:F$473,D$6:D$473,D247,E$6:E$473,E247)=0,0,F247/SUMIFS(F$6:F$473,D$6:D$473,D247,E$6:E$473,E247))</f>
        <v>0.0226424955095539</v>
      </c>
      <c r="H247" s="5" t="n">
        <f aca="false">SUMIFS(Pareto_Categories!$G$6:$G$84,Pareto_Categories!$B$6:$B$84,D247,Pareto_Categories!$C$6:$C$84,E247)</f>
        <v>17.1493362305561</v>
      </c>
      <c r="I247" s="28" t="n">
        <f aca="false">G247*H247</f>
        <v>0.388303768592196</v>
      </c>
      <c r="J247" s="29" t="n">
        <f aca="false">I247/$I$475</f>
        <v>0.000335653394033618</v>
      </c>
      <c r="K247" s="14" t="n">
        <f aca="false">SUM(J$6:J247)</f>
        <v>0.962521988215974</v>
      </c>
      <c r="L247" s="4" t="str">
        <f aca="false">IF(I247&lt;=0,"-",IF(K247-J247&lt;0.8,"A - top 80%",IF(K247-J247&lt;0.95,"B - next 15%","C - tail")))</f>
        <v>C - tail</v>
      </c>
      <c r="M247" s="16" t="n">
        <v>483810.714285714</v>
      </c>
      <c r="N247" s="16" t="n">
        <v>328308.035714286</v>
      </c>
      <c r="O247" s="17" t="n">
        <f aca="false">N247-M247</f>
        <v>-155502.678571429</v>
      </c>
      <c r="P247" s="14" t="n">
        <f aca="false">IF(M247&lt;1000,"new",R247)</f>
        <v>-0.321412225855744</v>
      </c>
      <c r="Q247" s="4" t="str">
        <f aca="false">IF(LEFT(L247,1)="A",IF(R247&lt;-0.05,"2 FIX","1 PROTECT"),IF(AND(N247&gt;=300000,OR(P247="new",R247&gt;=0.25),LEFT(L247,1)&lt;&gt;"-"),"3 SCALE","4 MAINTAIN"))</f>
        <v>4 MAINTAIN</v>
      </c>
      <c r="R247" s="14" t="n">
        <f aca="false">IF(M247&lt;1000,0,N247/M247-1)</f>
        <v>-0.321412225855744</v>
      </c>
    </row>
    <row r="248" customFormat="false" ht="15" hidden="false" customHeight="false" outlineLevel="0" collapsed="false">
      <c r="A248" s="25" t="n">
        <f aca="false">ROW()-5</f>
        <v>243</v>
      </c>
      <c r="B248" s="4" t="s">
        <v>686</v>
      </c>
      <c r="C248" s="4" t="s">
        <v>687</v>
      </c>
      <c r="D248" s="4" t="s">
        <v>78</v>
      </c>
      <c r="E248" s="4" t="s">
        <v>168</v>
      </c>
      <c r="F248" s="16" t="n">
        <v>328285.714285714</v>
      </c>
      <c r="G248" s="14" t="n">
        <f aca="false">IF(SUMIFS(F$6:F$473,D$6:D$473,D248,E$6:E$473,E248)=0,0,F248/SUMIFS(F$6:F$473,D$6:D$473,D248,E$6:E$473,E248))</f>
        <v>0.114439072317937</v>
      </c>
      <c r="H248" s="5" t="n">
        <f aca="false">SUMIFS(Pareto_Categories!$G$6:$G$84,Pareto_Categories!$B$6:$B$84,D248,Pareto_Categories!$C$6:$C$84,E248)</f>
        <v>3.36869951360875</v>
      </c>
      <c r="I248" s="28" t="n">
        <f aca="false">G248*H248</f>
        <v>0.385510847255269</v>
      </c>
      <c r="J248" s="29" t="n">
        <f aca="false">I248/$I$475</f>
        <v>0.000333239166818139</v>
      </c>
      <c r="K248" s="14" t="n">
        <f aca="false">SUM(J$6:J248)</f>
        <v>0.962855227382792</v>
      </c>
      <c r="L248" s="4" t="str">
        <f aca="false">IF(I248&lt;=0,"-",IF(K248-J248&lt;0.8,"A - top 80%",IF(K248-J248&lt;0.95,"B - next 15%","C - tail")))</f>
        <v>C - tail</v>
      </c>
      <c r="M248" s="16" t="n">
        <v>0</v>
      </c>
      <c r="N248" s="16" t="n">
        <v>328285.714285714</v>
      </c>
      <c r="O248" s="17" t="n">
        <f aca="false">N248-M248</f>
        <v>328285.714285714</v>
      </c>
      <c r="P248" s="14" t="str">
        <f aca="false">IF(M248&lt;1000,"new",R248)</f>
        <v>new</v>
      </c>
      <c r="Q248" s="4" t="str">
        <f aca="false">IF(LEFT(L248,1)="A",IF(R248&lt;-0.05,"2 FIX","1 PROTECT"),IF(AND(N248&gt;=300000,OR(P248="new",R248&gt;=0.25),LEFT(L248,1)&lt;&gt;"-"),"3 SCALE","4 MAINTAIN"))</f>
        <v>3 SCALE</v>
      </c>
      <c r="R248" s="14" t="n">
        <f aca="false">IF(M248&lt;1000,0,N248/M248-1)</f>
        <v>0</v>
      </c>
    </row>
    <row r="249" customFormat="false" ht="15" hidden="false" customHeight="false" outlineLevel="0" collapsed="false">
      <c r="A249" s="25" t="n">
        <f aca="false">ROW()-5</f>
        <v>244</v>
      </c>
      <c r="B249" s="4" t="s">
        <v>688</v>
      </c>
      <c r="C249" s="4" t="s">
        <v>689</v>
      </c>
      <c r="D249" s="4" t="s">
        <v>78</v>
      </c>
      <c r="E249" s="4" t="s">
        <v>166</v>
      </c>
      <c r="F249" s="16" t="n">
        <v>93519.6428571429</v>
      </c>
      <c r="G249" s="14" t="n">
        <f aca="false">IF(SUMIFS(F$6:F$473,D$6:D$473,D249,E$6:E$473,E249)=0,0,F249/SUMIFS(F$6:F$473,D$6:D$473,D249,E$6:E$473,E249))</f>
        <v>0.0275548349027846</v>
      </c>
      <c r="H249" s="5" t="n">
        <f aca="false">SUMIFS(Pareto_Categories!$G$6:$G$84,Pareto_Categories!$B$6:$B$84,D249,Pareto_Categories!$C$6:$C$84,E249)</f>
        <v>13.503490691206</v>
      </c>
      <c r="I249" s="28" t="n">
        <f aca="false">G249*H249</f>
        <v>0.372086456607468</v>
      </c>
      <c r="J249" s="29" t="n">
        <f aca="false">I249/$I$475</f>
        <v>0.000321634998514277</v>
      </c>
      <c r="K249" s="14" t="n">
        <f aca="false">SUM(J$6:J249)</f>
        <v>0.963176862381306</v>
      </c>
      <c r="L249" s="4" t="str">
        <f aca="false">IF(I249&lt;=0,"-",IF(K249-J249&lt;0.8,"A - top 80%",IF(K249-J249&lt;0.95,"B - next 15%","C - tail")))</f>
        <v>C - tail</v>
      </c>
      <c r="M249" s="16" t="n">
        <v>181335.714285714</v>
      </c>
      <c r="N249" s="16" t="n">
        <v>179448.214285714</v>
      </c>
      <c r="O249" s="17" t="n">
        <f aca="false">N249-M249</f>
        <v>-1887.5</v>
      </c>
      <c r="P249" s="14" t="n">
        <f aca="false">IF(M249&lt;1000,"new",R249)</f>
        <v>-0.010408870681845</v>
      </c>
      <c r="Q249" s="4" t="str">
        <f aca="false">IF(LEFT(L249,1)="A",IF(R249&lt;-0.05,"2 FIX","1 PROTECT"),IF(AND(N249&gt;=300000,OR(P249="new",R249&gt;=0.25),LEFT(L249,1)&lt;&gt;"-"),"3 SCALE","4 MAINTAIN"))</f>
        <v>4 MAINTAIN</v>
      </c>
      <c r="R249" s="14" t="n">
        <f aca="false">IF(M249&lt;1000,0,N249/M249-1)</f>
        <v>-0.010408870681845</v>
      </c>
    </row>
    <row r="250" customFormat="false" ht="15" hidden="false" customHeight="false" outlineLevel="0" collapsed="false">
      <c r="A250" s="25" t="n">
        <f aca="false">ROW()-5</f>
        <v>245</v>
      </c>
      <c r="B250" s="4" t="s">
        <v>690</v>
      </c>
      <c r="C250" s="4" t="s">
        <v>691</v>
      </c>
      <c r="D250" s="4" t="s">
        <v>78</v>
      </c>
      <c r="E250" s="4" t="s">
        <v>171</v>
      </c>
      <c r="F250" s="16" t="n">
        <v>124003.026785714</v>
      </c>
      <c r="G250" s="14" t="n">
        <f aca="false">IF(SUMIFS(F$6:F$473,D$6:D$473,D250,E$6:E$473,E250)=0,0,F250/SUMIFS(F$6:F$473,D$6:D$473,D250,E$6:E$473,E250))</f>
        <v>0.201515733354413</v>
      </c>
      <c r="H250" s="5" t="n">
        <f aca="false">SUMIFS(Pareto_Categories!$G$6:$G$84,Pareto_Categories!$B$6:$B$84,D250,Pareto_Categories!$C$6:$C$84,E250)</f>
        <v>1.80666823968793</v>
      </c>
      <c r="I250" s="28" t="n">
        <f aca="false">G250*H250</f>
        <v>0.36407207524884</v>
      </c>
      <c r="J250" s="29" t="n">
        <f aca="false">I250/$I$475</f>
        <v>0.000314707292626034</v>
      </c>
      <c r="K250" s="14" t="n">
        <f aca="false">SUM(J$6:J250)</f>
        <v>0.963491569673933</v>
      </c>
      <c r="L250" s="4" t="str">
        <f aca="false">IF(I250&lt;=0,"-",IF(K250-J250&lt;0.8,"A - top 80%",IF(K250-J250&lt;0.95,"B - next 15%","C - tail")))</f>
        <v>C - tail</v>
      </c>
      <c r="M250" s="16" t="n">
        <v>234099.955357143</v>
      </c>
      <c r="N250" s="16" t="n">
        <v>246372.125</v>
      </c>
      <c r="O250" s="17" t="n">
        <f aca="false">N250-M250</f>
        <v>12272.1696428572</v>
      </c>
      <c r="P250" s="14" t="n">
        <f aca="false">IF(M250&lt;1000,"new",R250)</f>
        <v>0.052422776519264</v>
      </c>
      <c r="Q250" s="4" t="str">
        <f aca="false">IF(LEFT(L250,1)="A",IF(R250&lt;-0.05,"2 FIX","1 PROTECT"),IF(AND(N250&gt;=300000,OR(P250="new",R250&gt;=0.25),LEFT(L250,1)&lt;&gt;"-"),"3 SCALE","4 MAINTAIN"))</f>
        <v>4 MAINTAIN</v>
      </c>
      <c r="R250" s="14" t="n">
        <f aca="false">IF(M250&lt;1000,0,N250/M250-1)</f>
        <v>0.052422776519264</v>
      </c>
    </row>
    <row r="251" customFormat="false" ht="15" hidden="false" customHeight="false" outlineLevel="0" collapsed="false">
      <c r="A251" s="25" t="n">
        <f aca="false">ROW()-5</f>
        <v>246</v>
      </c>
      <c r="B251" s="4" t="s">
        <v>692</v>
      </c>
      <c r="C251" s="4" t="s">
        <v>693</v>
      </c>
      <c r="D251" s="4" t="s">
        <v>78</v>
      </c>
      <c r="E251" s="4" t="s">
        <v>166</v>
      </c>
      <c r="F251" s="16" t="n">
        <v>90797.3214285714</v>
      </c>
      <c r="G251" s="14" t="n">
        <f aca="false">IF(SUMIFS(F$6:F$473,D$6:D$473,D251,E$6:E$473,E251)=0,0,F251/SUMIFS(F$6:F$473,D$6:D$473,D251,E$6:E$473,E251))</f>
        <v>0.0267527240817329</v>
      </c>
      <c r="H251" s="5" t="n">
        <f aca="false">SUMIFS(Pareto_Categories!$G$6:$G$84,Pareto_Categories!$B$6:$B$84,D251,Pareto_Categories!$C$6:$C$84,E251)</f>
        <v>13.503490691206</v>
      </c>
      <c r="I251" s="28" t="n">
        <f aca="false">G251*H251</f>
        <v>0.361255160602082</v>
      </c>
      <c r="J251" s="29" t="n">
        <f aca="false">I251/$I$475</f>
        <v>0.000312272325370075</v>
      </c>
      <c r="K251" s="14" t="n">
        <f aca="false">SUM(J$6:J251)</f>
        <v>0.963803841999303</v>
      </c>
      <c r="L251" s="4" t="str">
        <f aca="false">IF(I251&lt;=0,"-",IF(K251-J251&lt;0.8,"A - top 80%",IF(K251-J251&lt;0.95,"B - next 15%","C - tail")))</f>
        <v>C - tail</v>
      </c>
      <c r="M251" s="16" t="n">
        <v>143072.705357143</v>
      </c>
      <c r="N251" s="16" t="n">
        <v>163085.589285714</v>
      </c>
      <c r="O251" s="17" t="n">
        <f aca="false">N251-M251</f>
        <v>20012.8839285715</v>
      </c>
      <c r="P251" s="14" t="n">
        <f aca="false">IF(M251&lt;1000,"new",R251)</f>
        <v>0.139879118652399</v>
      </c>
      <c r="Q251" s="4" t="str">
        <f aca="false">IF(LEFT(L251,1)="A",IF(R251&lt;-0.05,"2 FIX","1 PROTECT"),IF(AND(N251&gt;=300000,OR(P251="new",R251&gt;=0.25),LEFT(L251,1)&lt;&gt;"-"),"3 SCALE","4 MAINTAIN"))</f>
        <v>4 MAINTAIN</v>
      </c>
      <c r="R251" s="14" t="n">
        <f aca="false">IF(M251&lt;1000,0,N251/M251-1)</f>
        <v>0.139879118652399</v>
      </c>
    </row>
    <row r="252" customFormat="false" ht="15" hidden="false" customHeight="false" outlineLevel="0" collapsed="false">
      <c r="A252" s="25" t="n">
        <f aca="false">ROW()-5</f>
        <v>247</v>
      </c>
      <c r="B252" s="4" t="s">
        <v>694</v>
      </c>
      <c r="C252" s="4" t="s">
        <v>695</v>
      </c>
      <c r="D252" s="4" t="s">
        <v>78</v>
      </c>
      <c r="E252" s="4" t="s">
        <v>151</v>
      </c>
      <c r="F252" s="16" t="n">
        <v>107402.678571429</v>
      </c>
      <c r="G252" s="14" t="n">
        <f aca="false">IF(SUMIFS(F$6:F$473,D$6:D$473,D252,E$6:E$473,E252)=0,0,F252/SUMIFS(F$6:F$473,D$6:D$473,D252,E$6:E$473,E252))</f>
        <v>0.00187340082851406</v>
      </c>
      <c r="H252" s="5" t="n">
        <f aca="false">SUMIFS(Pareto_Categories!$G$6:$G$84,Pareto_Categories!$B$6:$B$84,D252,Pareto_Categories!$C$6:$C$84,E252)</f>
        <v>192.620734264564</v>
      </c>
      <c r="I252" s="28" t="n">
        <f aca="false">G252*H252</f>
        <v>0.36085584316022</v>
      </c>
      <c r="J252" s="29" t="n">
        <f aca="false">I252/$I$475</f>
        <v>0.000311927151654291</v>
      </c>
      <c r="K252" s="14" t="n">
        <f aca="false">SUM(J$6:J252)</f>
        <v>0.964115769150957</v>
      </c>
      <c r="L252" s="4" t="str">
        <f aca="false">IF(I252&lt;=0,"-",IF(K252-J252&lt;0.8,"A - top 80%",IF(K252-J252&lt;0.95,"B - next 15%","C - tail")))</f>
        <v>C - tail</v>
      </c>
      <c r="M252" s="16" t="n">
        <v>292026.785714286</v>
      </c>
      <c r="N252" s="16" t="n">
        <v>295215.178571429</v>
      </c>
      <c r="O252" s="17" t="n">
        <f aca="false">N252-M252</f>
        <v>3188.39285714284</v>
      </c>
      <c r="P252" s="14" t="n">
        <f aca="false">IF(M252&lt;1000,"new",R252)</f>
        <v>0.0109181520775368</v>
      </c>
      <c r="Q252" s="4" t="str">
        <f aca="false">IF(LEFT(L252,1)="A",IF(R252&lt;-0.05,"2 FIX","1 PROTECT"),IF(AND(N252&gt;=300000,OR(P252="new",R252&gt;=0.25),LEFT(L252,1)&lt;&gt;"-"),"3 SCALE","4 MAINTAIN"))</f>
        <v>4 MAINTAIN</v>
      </c>
      <c r="R252" s="14" t="n">
        <f aca="false">IF(M252&lt;1000,0,N252/M252-1)</f>
        <v>0.0109181520775368</v>
      </c>
    </row>
    <row r="253" customFormat="false" ht="15" hidden="false" customHeight="false" outlineLevel="0" collapsed="false">
      <c r="A253" s="25" t="n">
        <f aca="false">ROW()-5</f>
        <v>248</v>
      </c>
      <c r="B253" s="4" t="s">
        <v>696</v>
      </c>
      <c r="C253" s="4" t="s">
        <v>697</v>
      </c>
      <c r="D253" s="4" t="s">
        <v>78</v>
      </c>
      <c r="E253" s="4" t="s">
        <v>167</v>
      </c>
      <c r="F253" s="16" t="n">
        <v>97598.2142857143</v>
      </c>
      <c r="G253" s="14" t="n">
        <f aca="false">IF(SUMIFS(F$6:F$473,D$6:D$473,D253,E$6:E$473,E253)=0,0,F253/SUMIFS(F$6:F$473,D$6:D$473,D253,E$6:E$473,E253))</f>
        <v>0.0717582710351714</v>
      </c>
      <c r="H253" s="5" t="n">
        <f aca="false">SUMIFS(Pareto_Categories!$G$6:$G$84,Pareto_Categories!$B$6:$B$84,D253,Pareto_Categories!$C$6:$C$84,E253)</f>
        <v>5.01387386744405</v>
      </c>
      <c r="I253" s="28" t="n">
        <f aca="false">G253*H253</f>
        <v>0.359786919916213</v>
      </c>
      <c r="J253" s="29" t="n">
        <f aca="false">I253/$I$475</f>
        <v>0.000311003164446768</v>
      </c>
      <c r="K253" s="14" t="n">
        <f aca="false">SUM(J$6:J253)</f>
        <v>0.964426772315404</v>
      </c>
      <c r="L253" s="4" t="str">
        <f aca="false">IF(I253&lt;=0,"-",IF(K253-J253&lt;0.8,"A - top 80%",IF(K253-J253&lt;0.95,"B - next 15%","C - tail")))</f>
        <v>C - tail</v>
      </c>
      <c r="M253" s="16" t="n">
        <v>88706.25</v>
      </c>
      <c r="N253" s="16" t="n">
        <v>199348.214285714</v>
      </c>
      <c r="O253" s="17" t="n">
        <f aca="false">N253-M253</f>
        <v>110641.964285714</v>
      </c>
      <c r="P253" s="14" t="n">
        <f aca="false">IF(M253&lt;1000,"new",R253)</f>
        <v>1.24728487886383</v>
      </c>
      <c r="Q253" s="4" t="str">
        <f aca="false">IF(LEFT(L253,1)="A",IF(R253&lt;-0.05,"2 FIX","1 PROTECT"),IF(AND(N253&gt;=300000,OR(P253="new",R253&gt;=0.25),LEFT(L253,1)&lt;&gt;"-"),"3 SCALE","4 MAINTAIN"))</f>
        <v>4 MAINTAIN</v>
      </c>
      <c r="R253" s="14" t="n">
        <f aca="false">IF(M253&lt;1000,0,N253/M253-1)</f>
        <v>1.24728487886383</v>
      </c>
    </row>
    <row r="254" customFormat="false" ht="15" hidden="false" customHeight="false" outlineLevel="0" collapsed="false">
      <c r="A254" s="25" t="n">
        <f aca="false">ROW()-5</f>
        <v>249</v>
      </c>
      <c r="B254" s="4" t="s">
        <v>698</v>
      </c>
      <c r="C254" s="4" t="s">
        <v>699</v>
      </c>
      <c r="D254" s="4" t="s">
        <v>78</v>
      </c>
      <c r="E254" s="4" t="s">
        <v>151</v>
      </c>
      <c r="F254" s="16" t="n">
        <v>102945.535714286</v>
      </c>
      <c r="G254" s="14" t="n">
        <f aca="false">IF(SUMIFS(F$6:F$473,D$6:D$473,D254,E$6:E$473,E254)=0,0,F254/SUMIFS(F$6:F$473,D$6:D$473,D254,E$6:E$473,E254))</f>
        <v>0.0017956558855346</v>
      </c>
      <c r="H254" s="5" t="n">
        <f aca="false">SUMIFS(Pareto_Categories!$G$6:$G$84,Pareto_Categories!$B$6:$B$84,D254,Pareto_Categories!$C$6:$C$84,E254)</f>
        <v>192.620734264564</v>
      </c>
      <c r="I254" s="28" t="n">
        <f aca="false">G254*H254</f>
        <v>0.34588055515816</v>
      </c>
      <c r="J254" s="29" t="n">
        <f aca="false">I254/$I$475</f>
        <v>0.000298982373233144</v>
      </c>
      <c r="K254" s="14" t="n">
        <f aca="false">SUM(J$6:J254)</f>
        <v>0.964725754688637</v>
      </c>
      <c r="L254" s="4" t="str">
        <f aca="false">IF(I254&lt;=0,"-",IF(K254-J254&lt;0.8,"A - top 80%",IF(K254-J254&lt;0.95,"B - next 15%","C - tail")))</f>
        <v>C - tail</v>
      </c>
      <c r="M254" s="16" t="n">
        <v>220121.428571429</v>
      </c>
      <c r="N254" s="16" t="n">
        <v>223924.107142857</v>
      </c>
      <c r="O254" s="17" t="n">
        <f aca="false">N254-M254</f>
        <v>3802.67857142849</v>
      </c>
      <c r="P254" s="14" t="n">
        <f aca="false">IF(M254&lt;1000,"new",R254)</f>
        <v>0.0172753674919683</v>
      </c>
      <c r="Q254" s="4" t="str">
        <f aca="false">IF(LEFT(L254,1)="A",IF(R254&lt;-0.05,"2 FIX","1 PROTECT"),IF(AND(N254&gt;=300000,OR(P254="new",R254&gt;=0.25),LEFT(L254,1)&lt;&gt;"-"),"3 SCALE","4 MAINTAIN"))</f>
        <v>4 MAINTAIN</v>
      </c>
      <c r="R254" s="14" t="n">
        <f aca="false">IF(M254&lt;1000,0,N254/M254-1)</f>
        <v>0.0172753674919683</v>
      </c>
    </row>
    <row r="255" customFormat="false" ht="15" hidden="false" customHeight="false" outlineLevel="0" collapsed="false">
      <c r="A255" s="25" t="n">
        <f aca="false">ROW()-5</f>
        <v>250</v>
      </c>
      <c r="B255" s="4" t="s">
        <v>700</v>
      </c>
      <c r="C255" s="4" t="s">
        <v>701</v>
      </c>
      <c r="D255" s="4" t="s">
        <v>78</v>
      </c>
      <c r="E255" s="4" t="s">
        <v>153</v>
      </c>
      <c r="F255" s="16" t="n">
        <v>74648.2142857143</v>
      </c>
      <c r="G255" s="14" t="n">
        <f aca="false">IF(SUMIFS(F$6:F$473,D$6:D$473,D255,E$6:E$473,E255)=0,0,F255/SUMIFS(F$6:F$473,D$6:D$473,D255,E$6:E$473,E255))</f>
        <v>0.00221089159481289</v>
      </c>
      <c r="H255" s="5" t="n">
        <f aca="false">SUMIFS(Pareto_Categories!$G$6:$G$84,Pareto_Categories!$B$6:$B$84,D255,Pareto_Categories!$C$6:$C$84,E255)</f>
        <v>152.006736079647</v>
      </c>
      <c r="I255" s="28" t="n">
        <f aca="false">G255*H255</f>
        <v>0.336070415153432</v>
      </c>
      <c r="J255" s="29" t="n">
        <f aca="false">I255/$I$475</f>
        <v>0.000290502396846435</v>
      </c>
      <c r="K255" s="14" t="n">
        <f aca="false">SUM(J$6:J255)</f>
        <v>0.965016257085483</v>
      </c>
      <c r="L255" s="4" t="str">
        <f aca="false">IF(I255&lt;=0,"-",IF(K255-J255&lt;0.8,"A - top 80%",IF(K255-J255&lt;0.95,"B - next 15%","C - tail")))</f>
        <v>C - tail</v>
      </c>
      <c r="M255" s="16" t="n">
        <v>0</v>
      </c>
      <c r="N255" s="16" t="n">
        <v>74648.2142857143</v>
      </c>
      <c r="O255" s="17" t="n">
        <f aca="false">N255-M255</f>
        <v>74648.2142857143</v>
      </c>
      <c r="P255" s="14" t="str">
        <f aca="false">IF(M255&lt;1000,"new",R255)</f>
        <v>new</v>
      </c>
      <c r="Q255" s="4" t="str">
        <f aca="false">IF(LEFT(L255,1)="A",IF(R255&lt;-0.05,"2 FIX","1 PROTECT"),IF(AND(N255&gt;=300000,OR(P255="new",R255&gt;=0.25),LEFT(L255,1)&lt;&gt;"-"),"3 SCALE","4 MAINTAIN"))</f>
        <v>4 MAINTAIN</v>
      </c>
      <c r="R255" s="14" t="n">
        <f aca="false">IF(M255&lt;1000,0,N255/M255-1)</f>
        <v>0</v>
      </c>
    </row>
    <row r="256" customFormat="false" ht="15" hidden="false" customHeight="false" outlineLevel="0" collapsed="false">
      <c r="A256" s="25" t="n">
        <f aca="false">ROW()-5</f>
        <v>251</v>
      </c>
      <c r="B256" s="4" t="s">
        <v>702</v>
      </c>
      <c r="C256" s="4" t="s">
        <v>560</v>
      </c>
      <c r="D256" s="4" t="s">
        <v>78</v>
      </c>
      <c r="E256" s="4" t="s">
        <v>154</v>
      </c>
      <c r="F256" s="16" t="n">
        <v>103357.142857143</v>
      </c>
      <c r="G256" s="14" t="n">
        <f aca="false">IF(SUMIFS(F$6:F$473,D$6:D$473,D256,E$6:E$473,E256)=0,0,F256/SUMIFS(F$6:F$473,D$6:D$473,D256,E$6:E$473,E256))</f>
        <v>0.00275551712031292</v>
      </c>
      <c r="H256" s="5" t="n">
        <f aca="false">SUMIFS(Pareto_Categories!$G$6:$G$84,Pareto_Categories!$B$6:$B$84,D256,Pareto_Categories!$C$6:$C$84,E256)</f>
        <v>120.122971429313</v>
      </c>
      <c r="I256" s="28" t="n">
        <f aca="false">G256*H256</f>
        <v>0.331000904316332</v>
      </c>
      <c r="J256" s="29" t="n">
        <f aca="false">I256/$I$475</f>
        <v>0.000286120264464017</v>
      </c>
      <c r="K256" s="14" t="n">
        <f aca="false">SUM(J$6:J256)</f>
        <v>0.965302377349947</v>
      </c>
      <c r="L256" s="4" t="str">
        <f aca="false">IF(I256&lt;=0,"-",IF(K256-J256&lt;0.8,"A - top 80%",IF(K256-J256&lt;0.95,"B - next 15%","C - tail")))</f>
        <v>C - tail</v>
      </c>
      <c r="M256" s="16" t="n">
        <v>445107.142857143</v>
      </c>
      <c r="N256" s="16" t="n">
        <v>224098.214285714</v>
      </c>
      <c r="O256" s="17" t="n">
        <f aca="false">N256-M256</f>
        <v>-221008.928571429</v>
      </c>
      <c r="P256" s="14" t="n">
        <f aca="false">IF(M256&lt;1000,"new",R256)</f>
        <v>-0.496529727994865</v>
      </c>
      <c r="Q256" s="4" t="str">
        <f aca="false">IF(LEFT(L256,1)="A",IF(R256&lt;-0.05,"2 FIX","1 PROTECT"),IF(AND(N256&gt;=300000,OR(P256="new",R256&gt;=0.25),LEFT(L256,1)&lt;&gt;"-"),"3 SCALE","4 MAINTAIN"))</f>
        <v>4 MAINTAIN</v>
      </c>
      <c r="R256" s="14" t="n">
        <f aca="false">IF(M256&lt;1000,0,N256/M256-1)</f>
        <v>-0.496529727994865</v>
      </c>
    </row>
    <row r="257" customFormat="false" ht="15" hidden="false" customHeight="false" outlineLevel="0" collapsed="false">
      <c r="A257" s="25" t="n">
        <f aca="false">ROW()-5</f>
        <v>252</v>
      </c>
      <c r="B257" s="4" t="s">
        <v>703</v>
      </c>
      <c r="C257" s="4" t="s">
        <v>704</v>
      </c>
      <c r="D257" s="4" t="s">
        <v>78</v>
      </c>
      <c r="E257" s="4" t="s">
        <v>151</v>
      </c>
      <c r="F257" s="16" t="n">
        <v>98239.5446428571</v>
      </c>
      <c r="G257" s="14" t="n">
        <f aca="false">IF(SUMIFS(F$6:F$473,D$6:D$473,D257,E$6:E$473,E257)=0,0,F257/SUMIFS(F$6:F$473,D$6:D$473,D257,E$6:E$473,E257))</f>
        <v>0.00171357033897785</v>
      </c>
      <c r="H257" s="5" t="n">
        <f aca="false">SUMIFS(Pareto_Categories!$G$6:$G$84,Pareto_Categories!$B$6:$B$84,D257,Pareto_Categories!$C$6:$C$84,E257)</f>
        <v>192.620734264564</v>
      </c>
      <c r="I257" s="28" t="n">
        <f aca="false">G257*H257</f>
        <v>0.330069176907891</v>
      </c>
      <c r="J257" s="29" t="n">
        <f aca="false">I257/$I$475</f>
        <v>0.000285314870614529</v>
      </c>
      <c r="K257" s="14" t="n">
        <f aca="false">SUM(J$6:J257)</f>
        <v>0.965587692220562</v>
      </c>
      <c r="L257" s="4" t="str">
        <f aca="false">IF(I257&lt;=0,"-",IF(K257-J257&lt;0.8,"A - top 80%",IF(K257-J257&lt;0.95,"B - next 15%","C - tail")))</f>
        <v>C - tail</v>
      </c>
      <c r="M257" s="16" t="n">
        <v>196206.25</v>
      </c>
      <c r="N257" s="16" t="n">
        <v>202203.830357143</v>
      </c>
      <c r="O257" s="17" t="n">
        <f aca="false">N257-M257</f>
        <v>5997.58035714281</v>
      </c>
      <c r="P257" s="14" t="n">
        <f aca="false">IF(M257&lt;1000,"new",R257)</f>
        <v>0.030567733480166</v>
      </c>
      <c r="Q257" s="4" t="str">
        <f aca="false">IF(LEFT(L257,1)="A",IF(R257&lt;-0.05,"2 FIX","1 PROTECT"),IF(AND(N257&gt;=300000,OR(P257="new",R257&gt;=0.25),LEFT(L257,1)&lt;&gt;"-"),"3 SCALE","4 MAINTAIN"))</f>
        <v>4 MAINTAIN</v>
      </c>
      <c r="R257" s="14" t="n">
        <f aca="false">IF(M257&lt;1000,0,N257/M257-1)</f>
        <v>0.030567733480166</v>
      </c>
    </row>
    <row r="258" customFormat="false" ht="15" hidden="false" customHeight="false" outlineLevel="0" collapsed="false">
      <c r="A258" s="25" t="n">
        <f aca="false">ROW()-5</f>
        <v>253</v>
      </c>
      <c r="B258" s="4" t="s">
        <v>705</v>
      </c>
      <c r="C258" s="4" t="s">
        <v>706</v>
      </c>
      <c r="D258" s="4" t="s">
        <v>78</v>
      </c>
      <c r="E258" s="4" t="s">
        <v>157</v>
      </c>
      <c r="F258" s="16" t="n">
        <v>109257.142857143</v>
      </c>
      <c r="G258" s="14" t="n">
        <f aca="false">IF(SUMIFS(F$6:F$473,D$6:D$473,D258,E$6:E$473,E258)=0,0,F258/SUMIFS(F$6:F$473,D$6:D$473,D258,E$6:E$473,E258))</f>
        <v>0.0084622834585077</v>
      </c>
      <c r="H258" s="5" t="n">
        <f aca="false">SUMIFS(Pareto_Categories!$G$6:$G$84,Pareto_Categories!$B$6:$B$84,D258,Pareto_Categories!$C$6:$C$84,E258)</f>
        <v>38.9811115222903</v>
      </c>
      <c r="I258" s="28" t="n">
        <f aca="false">G258*H258</f>
        <v>0.329869215229321</v>
      </c>
      <c r="J258" s="29" t="n">
        <f aca="false">I258/$I$475</f>
        <v>0.000285142021877232</v>
      </c>
      <c r="K258" s="14" t="n">
        <f aca="false">SUM(J$6:J258)</f>
        <v>0.965872834242439</v>
      </c>
      <c r="L258" s="4" t="str">
        <f aca="false">IF(I258&lt;=0,"-",IF(K258-J258&lt;0.8,"A - top 80%",IF(K258-J258&lt;0.95,"B - next 15%","C - tail")))</f>
        <v>C - tail</v>
      </c>
      <c r="M258" s="16" t="n">
        <v>214517.857142857</v>
      </c>
      <c r="N258" s="16" t="n">
        <v>236795.535714286</v>
      </c>
      <c r="O258" s="17" t="n">
        <f aca="false">N258-M258</f>
        <v>22277.6785714286</v>
      </c>
      <c r="P258" s="14" t="n">
        <f aca="false">IF(M258&lt;1000,"new",R258)</f>
        <v>0.103849995837842</v>
      </c>
      <c r="Q258" s="4" t="str">
        <f aca="false">IF(LEFT(L258,1)="A",IF(R258&lt;-0.05,"2 FIX","1 PROTECT"),IF(AND(N258&gt;=300000,OR(P258="new",R258&gt;=0.25),LEFT(L258,1)&lt;&gt;"-"),"3 SCALE","4 MAINTAIN"))</f>
        <v>4 MAINTAIN</v>
      </c>
      <c r="R258" s="14" t="n">
        <f aca="false">IF(M258&lt;1000,0,N258/M258-1)</f>
        <v>0.103849995837842</v>
      </c>
    </row>
    <row r="259" customFormat="false" ht="15" hidden="false" customHeight="false" outlineLevel="0" collapsed="false">
      <c r="A259" s="25" t="n">
        <f aca="false">ROW()-5</f>
        <v>254</v>
      </c>
      <c r="B259" s="4" t="s">
        <v>707</v>
      </c>
      <c r="C259" s="4" t="s">
        <v>708</v>
      </c>
      <c r="D259" s="4" t="s">
        <v>78</v>
      </c>
      <c r="E259" s="4" t="s">
        <v>154</v>
      </c>
      <c r="F259" s="16" t="n">
        <v>101395.535714286</v>
      </c>
      <c r="G259" s="14" t="n">
        <f aca="false">IF(SUMIFS(F$6:F$473,D$6:D$473,D259,E$6:E$473,E259)=0,0,F259/SUMIFS(F$6:F$473,D$6:D$473,D259,E$6:E$473,E259))</f>
        <v>0.00270322037607201</v>
      </c>
      <c r="H259" s="5" t="n">
        <f aca="false">SUMIFS(Pareto_Categories!$G$6:$G$84,Pareto_Categories!$B$6:$B$84,D259,Pareto_Categories!$C$6:$C$84,E259)</f>
        <v>120.122971429313</v>
      </c>
      <c r="I259" s="28" t="n">
        <f aca="false">G259*H259</f>
        <v>0.324718864002035</v>
      </c>
      <c r="J259" s="29" t="n">
        <f aca="false">I259/$I$475</f>
        <v>0.000280690010308631</v>
      </c>
      <c r="K259" s="14" t="n">
        <f aca="false">SUM(J$6:J259)</f>
        <v>0.966153524252748</v>
      </c>
      <c r="L259" s="4" t="str">
        <f aca="false">IF(I259&lt;=0,"-",IF(K259-J259&lt;0.8,"A - top 80%",IF(K259-J259&lt;0.95,"B - next 15%","C - tail")))</f>
        <v>C - tail</v>
      </c>
      <c r="M259" s="16" t="n">
        <v>105462.5</v>
      </c>
      <c r="N259" s="16" t="n">
        <v>157191.964285714</v>
      </c>
      <c r="O259" s="17" t="n">
        <f aca="false">N259-M259</f>
        <v>51729.4642857143</v>
      </c>
      <c r="P259" s="14" t="n">
        <f aca="false">IF(M259&lt;1000,"new",R259)</f>
        <v>0.49050102439933</v>
      </c>
      <c r="Q259" s="4" t="str">
        <f aca="false">IF(LEFT(L259,1)="A",IF(R259&lt;-0.05,"2 FIX","1 PROTECT"),IF(AND(N259&gt;=300000,OR(P259="new",R259&gt;=0.25),LEFT(L259,1)&lt;&gt;"-"),"3 SCALE","4 MAINTAIN"))</f>
        <v>4 MAINTAIN</v>
      </c>
      <c r="R259" s="14" t="n">
        <f aca="false">IF(M259&lt;1000,0,N259/M259-1)</f>
        <v>0.49050102439933</v>
      </c>
    </row>
    <row r="260" customFormat="false" ht="15" hidden="false" customHeight="false" outlineLevel="0" collapsed="false">
      <c r="A260" s="25" t="n">
        <f aca="false">ROW()-5</f>
        <v>255</v>
      </c>
      <c r="B260" s="4" t="s">
        <v>709</v>
      </c>
      <c r="C260" s="4" t="s">
        <v>710</v>
      </c>
      <c r="D260" s="4" t="s">
        <v>78</v>
      </c>
      <c r="E260" s="4" t="s">
        <v>155</v>
      </c>
      <c r="F260" s="16" t="n">
        <v>105250</v>
      </c>
      <c r="G260" s="14" t="n">
        <f aca="false">IF(SUMIFS(F$6:F$473,D$6:D$473,D260,E$6:E$473,E260)=0,0,F260/SUMIFS(F$6:F$473,D$6:D$473,D260,E$6:E$473,E260))</f>
        <v>0.00401131606144689</v>
      </c>
      <c r="H260" s="5" t="n">
        <f aca="false">SUMIFS(Pareto_Categories!$G$6:$G$84,Pareto_Categories!$B$6:$B$84,D260,Pareto_Categories!$C$6:$C$84,E260)</f>
        <v>80.8950655838976</v>
      </c>
      <c r="I260" s="28" t="n">
        <f aca="false">G260*H260</f>
        <v>0.324495675868488</v>
      </c>
      <c r="J260" s="29" t="n">
        <f aca="false">I260/$I$475</f>
        <v>0.000280497084407333</v>
      </c>
      <c r="K260" s="14" t="n">
        <f aca="false">SUM(J$6:J260)</f>
        <v>0.966434021337155</v>
      </c>
      <c r="L260" s="4" t="str">
        <f aca="false">IF(I260&lt;=0,"-",IF(K260-J260&lt;0.8,"A - top 80%",IF(K260-J260&lt;0.95,"B - next 15%","C - tail")))</f>
        <v>C - tail</v>
      </c>
      <c r="M260" s="16" t="n">
        <v>0</v>
      </c>
      <c r="N260" s="16" t="n">
        <v>105250</v>
      </c>
      <c r="O260" s="17" t="n">
        <f aca="false">N260-M260</f>
        <v>105250</v>
      </c>
      <c r="P260" s="14" t="str">
        <f aca="false">IF(M260&lt;1000,"new",R260)</f>
        <v>new</v>
      </c>
      <c r="Q260" s="4" t="str">
        <f aca="false">IF(LEFT(L260,1)="A",IF(R260&lt;-0.05,"2 FIX","1 PROTECT"),IF(AND(N260&gt;=300000,OR(P260="new",R260&gt;=0.25),LEFT(L260,1)&lt;&gt;"-"),"3 SCALE","4 MAINTAIN"))</f>
        <v>4 MAINTAIN</v>
      </c>
      <c r="R260" s="14" t="n">
        <f aca="false">IF(M260&lt;1000,0,N260/M260-1)</f>
        <v>0</v>
      </c>
    </row>
    <row r="261" customFormat="false" ht="15" hidden="false" customHeight="false" outlineLevel="0" collapsed="false">
      <c r="A261" s="25" t="n">
        <f aca="false">ROW()-5</f>
        <v>256</v>
      </c>
      <c r="B261" s="4" t="s">
        <v>711</v>
      </c>
      <c r="C261" s="4" t="s">
        <v>712</v>
      </c>
      <c r="D261" s="4" t="s">
        <v>83</v>
      </c>
      <c r="E261" s="4" t="s">
        <v>156</v>
      </c>
      <c r="F261" s="16" t="n">
        <v>10650</v>
      </c>
      <c r="G261" s="14" t="n">
        <f aca="false">IF(SUMIFS(F$6:F$473,D$6:D$473,D261,E$6:E$473,E261)=0,0,F261/SUMIFS(F$6:F$473,D$6:D$473,D261,E$6:E$473,E261))</f>
        <v>0.321570107567466</v>
      </c>
      <c r="H261" s="5" t="n">
        <f aca="false">SUMIFS(Pareto_Categories!$G$6:$G$84,Pareto_Categories!$B$6:$B$84,D261,Pareto_Categories!$C$6:$C$84,E261)</f>
        <v>1.00612895078728</v>
      </c>
      <c r="I261" s="28" t="n">
        <f aca="false">G261*H261</f>
        <v>0.323540994931406</v>
      </c>
      <c r="J261" s="29" t="n">
        <f aca="false">I261/$I$475</f>
        <v>0.00027967184931391</v>
      </c>
      <c r="K261" s="14" t="n">
        <f aca="false">SUM(J$6:J261)</f>
        <v>0.966713693186469</v>
      </c>
      <c r="L261" s="4" t="str">
        <f aca="false">IF(I261&lt;=0,"-",IF(K261-J261&lt;0.8,"A - top 80%",IF(K261-J261&lt;0.95,"B - next 15%","C - tail")))</f>
        <v>C - tail</v>
      </c>
      <c r="M261" s="16" t="n">
        <v>30428.5714285714</v>
      </c>
      <c r="N261" s="16" t="n">
        <v>25864.2857142857</v>
      </c>
      <c r="O261" s="17" t="n">
        <f aca="false">N261-M261</f>
        <v>-4564.28571428571</v>
      </c>
      <c r="P261" s="14" t="n">
        <f aca="false">IF(M261&lt;1000,"new",R261)</f>
        <v>-0.15</v>
      </c>
      <c r="Q261" s="4" t="str">
        <f aca="false">IF(LEFT(L261,1)="A",IF(R261&lt;-0.05,"2 FIX","1 PROTECT"),IF(AND(N261&gt;=300000,OR(P261="new",R261&gt;=0.25),LEFT(L261,1)&lt;&gt;"-"),"3 SCALE","4 MAINTAIN"))</f>
        <v>4 MAINTAIN</v>
      </c>
      <c r="R261" s="14" t="n">
        <f aca="false">IF(M261&lt;1000,0,N261/M261-1)</f>
        <v>-0.15</v>
      </c>
    </row>
    <row r="262" customFormat="false" ht="15" hidden="false" customHeight="false" outlineLevel="0" collapsed="false">
      <c r="A262" s="25" t="n">
        <f aca="false">ROW()-5</f>
        <v>257</v>
      </c>
      <c r="B262" s="4" t="s">
        <v>709</v>
      </c>
      <c r="C262" s="4" t="s">
        <v>710</v>
      </c>
      <c r="D262" s="4" t="s">
        <v>83</v>
      </c>
      <c r="E262" s="4" t="s">
        <v>155</v>
      </c>
      <c r="F262" s="16" t="n">
        <v>11250</v>
      </c>
      <c r="G262" s="14" t="n">
        <f aca="false">IF(SUMIFS(F$6:F$473,D$6:D$473,D262,E$6:E$473,E262)=0,0,F262/SUMIFS(F$6:F$473,D$6:D$473,D262,E$6:E$473,E262))</f>
        <v>0.0111173462365136</v>
      </c>
      <c r="H262" s="5" t="n">
        <f aca="false">SUMIFS(Pareto_Categories!$G$6:$G$84,Pareto_Categories!$B$6:$B$84,D262,Pareto_Categories!$C$6:$C$84,E262)</f>
        <v>28.2324451064745</v>
      </c>
      <c r="I262" s="28" t="n">
        <f aca="false">G262*H262</f>
        <v>0.313869867352041</v>
      </c>
      <c r="J262" s="29" t="n">
        <f aca="false">I262/$I$475</f>
        <v>0.000271312036562375</v>
      </c>
      <c r="K262" s="14" t="n">
        <f aca="false">SUM(J$6:J262)</f>
        <v>0.966985005223031</v>
      </c>
      <c r="L262" s="4" t="str">
        <f aca="false">IF(I262&lt;=0,"-",IF(K262-J262&lt;0.8,"A - top 80%",IF(K262-J262&lt;0.95,"B - next 15%","C - tail")))</f>
        <v>C - tail</v>
      </c>
      <c r="M262" s="16" t="n">
        <v>0</v>
      </c>
      <c r="N262" s="16" t="n">
        <v>11250</v>
      </c>
      <c r="O262" s="17" t="n">
        <f aca="false">N262-M262</f>
        <v>11250</v>
      </c>
      <c r="P262" s="14" t="str">
        <f aca="false">IF(M262&lt;1000,"new",R262)</f>
        <v>new</v>
      </c>
      <c r="Q262" s="4" t="str">
        <f aca="false">IF(LEFT(L262,1)="A",IF(R262&lt;-0.05,"2 FIX","1 PROTECT"),IF(AND(N262&gt;=300000,OR(P262="new",R262&gt;=0.25),LEFT(L262,1)&lt;&gt;"-"),"3 SCALE","4 MAINTAIN"))</f>
        <v>4 MAINTAIN</v>
      </c>
      <c r="R262" s="14" t="n">
        <f aca="false">IF(M262&lt;1000,0,N262/M262-1)</f>
        <v>0</v>
      </c>
    </row>
    <row r="263" customFormat="false" ht="15" hidden="false" customHeight="false" outlineLevel="0" collapsed="false">
      <c r="A263" s="25" t="n">
        <f aca="false">ROW()-5</f>
        <v>258</v>
      </c>
      <c r="B263" s="4" t="s">
        <v>555</v>
      </c>
      <c r="C263" s="4" t="s">
        <v>556</v>
      </c>
      <c r="D263" s="4" t="s">
        <v>83</v>
      </c>
      <c r="E263" s="4" t="s">
        <v>179</v>
      </c>
      <c r="F263" s="16" t="n">
        <v>130371.428571429</v>
      </c>
      <c r="G263" s="14" t="n">
        <f aca="false">IF(SUMIFS(F$6:F$473,D$6:D$473,D263,E$6:E$473,E263)=0,0,F263/SUMIFS(F$6:F$473,D$6:D$473,D263,E$6:E$473,E263))</f>
        <v>0.0182474632244558</v>
      </c>
      <c r="H263" s="5" t="n">
        <f aca="false">SUMIFS(Pareto_Categories!$G$6:$G$84,Pareto_Categories!$B$6:$B$84,D263,Pareto_Categories!$C$6:$C$84,E263)</f>
        <v>17.1493362305561</v>
      </c>
      <c r="I263" s="28" t="n">
        <f aca="false">G263*H263</f>
        <v>0.3129318821909</v>
      </c>
      <c r="J263" s="29" t="n">
        <f aca="false">I263/$I$475</f>
        <v>0.000270501233453171</v>
      </c>
      <c r="K263" s="14" t="n">
        <f aca="false">SUM(J$6:J263)</f>
        <v>0.967255506456484</v>
      </c>
      <c r="L263" s="4" t="str">
        <f aca="false">IF(I263&lt;=0,"-",IF(K263-J263&lt;0.8,"A - top 80%",IF(K263-J263&lt;0.95,"B - next 15%","C - tail")))</f>
        <v>C - tail</v>
      </c>
      <c r="M263" s="16" t="n">
        <v>320902.678571429</v>
      </c>
      <c r="N263" s="16" t="n">
        <v>318754.464285714</v>
      </c>
      <c r="O263" s="17" t="n">
        <f aca="false">N263-M263</f>
        <v>-2148.2142857142</v>
      </c>
      <c r="P263" s="14" t="n">
        <f aca="false">IF(M263&lt;1000,"new",R263)</f>
        <v>-0.00669428592892229</v>
      </c>
      <c r="Q263" s="4" t="str">
        <f aca="false">IF(LEFT(L263,1)="A",IF(R263&lt;-0.05,"2 FIX","1 PROTECT"),IF(AND(N263&gt;=300000,OR(P263="new",R263&gt;=0.25),LEFT(L263,1)&lt;&gt;"-"),"3 SCALE","4 MAINTAIN"))</f>
        <v>4 MAINTAIN</v>
      </c>
      <c r="R263" s="14" t="n">
        <f aca="false">IF(M263&lt;1000,0,N263/M263-1)</f>
        <v>-0.00669428592892229</v>
      </c>
    </row>
    <row r="264" customFormat="false" ht="15" hidden="false" customHeight="false" outlineLevel="0" collapsed="false">
      <c r="A264" s="25" t="n">
        <f aca="false">ROW()-5</f>
        <v>259</v>
      </c>
      <c r="B264" s="4" t="s">
        <v>713</v>
      </c>
      <c r="C264" s="4" t="s">
        <v>714</v>
      </c>
      <c r="D264" s="4" t="s">
        <v>78</v>
      </c>
      <c r="E264" s="4" t="s">
        <v>162</v>
      </c>
      <c r="F264" s="16" t="n">
        <v>99691.9642857143</v>
      </c>
      <c r="G264" s="14" t="n">
        <f aca="false">IF(SUMIFS(F$6:F$473,D$6:D$473,D264,E$6:E$473,E264)=0,0,F264/SUMIFS(F$6:F$473,D$6:D$473,D264,E$6:E$473,E264))</f>
        <v>0.0152509114425747</v>
      </c>
      <c r="H264" s="5" t="n">
        <f aca="false">SUMIFS(Pareto_Categories!$G$6:$G$84,Pareto_Categories!$B$6:$B$84,D264,Pareto_Categories!$C$6:$C$84,E264)</f>
        <v>20.4788803648929</v>
      </c>
      <c r="I264" s="28" t="n">
        <f aca="false">G264*H264</f>
        <v>0.312321590888062</v>
      </c>
      <c r="J264" s="29" t="n">
        <f aca="false">I264/$I$475</f>
        <v>0.000269973691967058</v>
      </c>
      <c r="K264" s="14" t="n">
        <f aca="false">SUM(J$6:J264)</f>
        <v>0.967525480148451</v>
      </c>
      <c r="L264" s="4" t="str">
        <f aca="false">IF(I264&lt;=0,"-",IF(K264-J264&lt;0.8,"A - top 80%",IF(K264-J264&lt;0.95,"B - next 15%","C - tail")))</f>
        <v>C - tail</v>
      </c>
      <c r="M264" s="16" t="n">
        <v>13390.1785714286</v>
      </c>
      <c r="N264" s="16" t="n">
        <v>242136.607142857</v>
      </c>
      <c r="O264" s="17" t="n">
        <f aca="false">N264-M264</f>
        <v>228746.428571429</v>
      </c>
      <c r="P264" s="14" t="n">
        <f aca="false">IF(M264&lt;1000,"new",R264)</f>
        <v>17.083149963326</v>
      </c>
      <c r="Q264" s="4" t="str">
        <f aca="false">IF(LEFT(L264,1)="A",IF(R264&lt;-0.05,"2 FIX","1 PROTECT"),IF(AND(N264&gt;=300000,OR(P264="new",R264&gt;=0.25),LEFT(L264,1)&lt;&gt;"-"),"3 SCALE","4 MAINTAIN"))</f>
        <v>4 MAINTAIN</v>
      </c>
      <c r="R264" s="14" t="n">
        <f aca="false">IF(M264&lt;1000,0,N264/M264-1)</f>
        <v>17.083149963326</v>
      </c>
    </row>
    <row r="265" customFormat="false" ht="15" hidden="false" customHeight="false" outlineLevel="0" collapsed="false">
      <c r="A265" s="25" t="n">
        <f aca="false">ROW()-5</f>
        <v>260</v>
      </c>
      <c r="B265" s="4" t="s">
        <v>715</v>
      </c>
      <c r="C265" s="4" t="s">
        <v>716</v>
      </c>
      <c r="D265" s="4" t="s">
        <v>78</v>
      </c>
      <c r="E265" s="4" t="s">
        <v>154</v>
      </c>
      <c r="F265" s="16" t="n">
        <v>94996.4285714286</v>
      </c>
      <c r="G265" s="14" t="n">
        <f aca="false">IF(SUMIFS(F$6:F$473,D$6:D$473,D265,E$6:E$473,E265)=0,0,F265/SUMIFS(F$6:F$473,D$6:D$473,D265,E$6:E$473,E265))</f>
        <v>0.00253261920812727</v>
      </c>
      <c r="H265" s="5" t="n">
        <f aca="false">SUMIFS(Pareto_Categories!$G$6:$G$84,Pareto_Categories!$B$6:$B$84,D265,Pareto_Categories!$C$6:$C$84,E265)</f>
        <v>120.122971429313</v>
      </c>
      <c r="I265" s="28" t="n">
        <f aca="false">G265*H265</f>
        <v>0.304225744779202</v>
      </c>
      <c r="J265" s="29" t="n">
        <f aca="false">I265/$I$475</f>
        <v>0.000262975567189993</v>
      </c>
      <c r="K265" s="14" t="n">
        <f aca="false">SUM(J$6:J265)</f>
        <v>0.967788455715641</v>
      </c>
      <c r="L265" s="4" t="str">
        <f aca="false">IF(I265&lt;=0,"-",IF(K265-J265&lt;0.8,"A - top 80%",IF(K265-J265&lt;0.95,"B - next 15%","C - tail")))</f>
        <v>C - tail</v>
      </c>
      <c r="M265" s="16" t="n">
        <v>241950</v>
      </c>
      <c r="N265" s="16" t="n">
        <v>218400.892857143</v>
      </c>
      <c r="O265" s="17" t="n">
        <f aca="false">N265-M265</f>
        <v>-23549.1071428572</v>
      </c>
      <c r="P265" s="14" t="n">
        <f aca="false">IF(M265&lt;1000,"new",R265)</f>
        <v>-0.097330469695628</v>
      </c>
      <c r="Q265" s="4" t="str">
        <f aca="false">IF(LEFT(L265,1)="A",IF(R265&lt;-0.05,"2 FIX","1 PROTECT"),IF(AND(N265&gt;=300000,OR(P265="new",R265&gt;=0.25),LEFT(L265,1)&lt;&gt;"-"),"3 SCALE","4 MAINTAIN"))</f>
        <v>4 MAINTAIN</v>
      </c>
      <c r="R265" s="14" t="n">
        <f aca="false">IF(M265&lt;1000,0,N265/M265-1)</f>
        <v>-0.097330469695628</v>
      </c>
    </row>
    <row r="266" customFormat="false" ht="15" hidden="false" customHeight="false" outlineLevel="0" collapsed="false">
      <c r="A266" s="25" t="n">
        <f aca="false">ROW()-5</f>
        <v>261</v>
      </c>
      <c r="B266" s="4" t="s">
        <v>717</v>
      </c>
      <c r="C266" s="4" t="s">
        <v>718</v>
      </c>
      <c r="D266" s="4" t="s">
        <v>78</v>
      </c>
      <c r="E266" s="4" t="s">
        <v>169</v>
      </c>
      <c r="F266" s="16" t="n">
        <v>66246.4285714286</v>
      </c>
      <c r="G266" s="14" t="n">
        <f aca="false">IF(SUMIFS(F$6:F$473,D$6:D$473,D266,E$6:E$473,E266)=0,0,F266/SUMIFS(F$6:F$473,D$6:D$473,D266,E$6:E$473,E266))</f>
        <v>0.0608956076469965</v>
      </c>
      <c r="H266" s="5" t="n">
        <f aca="false">SUMIFS(Pareto_Categories!$G$6:$G$84,Pareto_Categories!$B$6:$B$84,D266,Pareto_Categories!$C$6:$C$84,E266)</f>
        <v>4.89526180272377</v>
      </c>
      <c r="I266" s="28" t="n">
        <f aca="false">G266*H266</f>
        <v>0.298099942067996</v>
      </c>
      <c r="J266" s="29" t="n">
        <f aca="false">I266/$I$475</f>
        <v>0.000257680366273835</v>
      </c>
      <c r="K266" s="14" t="n">
        <f aca="false">SUM(J$6:J266)</f>
        <v>0.968046136081915</v>
      </c>
      <c r="L266" s="4" t="str">
        <f aca="false">IF(I266&lt;=0,"-",IF(K266-J266&lt;0.8,"A - top 80%",IF(K266-J266&lt;0.95,"B - next 15%","C - tail")))</f>
        <v>C - tail</v>
      </c>
      <c r="M266" s="16" t="n">
        <v>96551.7857142857</v>
      </c>
      <c r="N266" s="16" t="n">
        <v>118662.5</v>
      </c>
      <c r="O266" s="17" t="n">
        <f aca="false">N266-M266</f>
        <v>22110.7142857143</v>
      </c>
      <c r="P266" s="14" t="n">
        <f aca="false">IF(M266&lt;1000,"new",R266)</f>
        <v>0.229003680482347</v>
      </c>
      <c r="Q266" s="4" t="str">
        <f aca="false">IF(LEFT(L266,1)="A",IF(R266&lt;-0.05,"2 FIX","1 PROTECT"),IF(AND(N266&gt;=300000,OR(P266="new",R266&gt;=0.25),LEFT(L266,1)&lt;&gt;"-"),"3 SCALE","4 MAINTAIN"))</f>
        <v>4 MAINTAIN</v>
      </c>
      <c r="R266" s="14" t="n">
        <f aca="false">IF(M266&lt;1000,0,N266/M266-1)</f>
        <v>0.229003680482347</v>
      </c>
    </row>
    <row r="267" customFormat="false" ht="15" hidden="false" customHeight="false" outlineLevel="0" collapsed="false">
      <c r="A267" s="25" t="n">
        <f aca="false">ROW()-5</f>
        <v>262</v>
      </c>
      <c r="B267" s="4" t="s">
        <v>719</v>
      </c>
      <c r="C267" s="4" t="s">
        <v>720</v>
      </c>
      <c r="D267" s="4" t="s">
        <v>78</v>
      </c>
      <c r="E267" s="4" t="s">
        <v>165</v>
      </c>
      <c r="F267" s="16" t="n">
        <v>64389.2857142857</v>
      </c>
      <c r="G267" s="14" t="n">
        <f aca="false">IF(SUMIFS(F$6:F$473,D$6:D$473,D267,E$6:E$473,E267)=0,0,F267/SUMIFS(F$6:F$473,D$6:D$473,D267,E$6:E$473,E267))</f>
        <v>0.0182853241771619</v>
      </c>
      <c r="H267" s="5" t="n">
        <f aca="false">SUMIFS(Pareto_Categories!$G$6:$G$84,Pareto_Categories!$B$6:$B$84,D267,Pareto_Categories!$C$6:$C$84,E267)</f>
        <v>16.2037922025372</v>
      </c>
      <c r="I267" s="28" t="n">
        <f aca="false">G267*H267</f>
        <v>0.29629159332276</v>
      </c>
      <c r="J267" s="29" t="n">
        <f aca="false">I267/$I$475</f>
        <v>0.000256117212776419</v>
      </c>
      <c r="K267" s="14" t="n">
        <f aca="false">SUM(J$6:J267)</f>
        <v>0.968302253294692</v>
      </c>
      <c r="L267" s="4" t="str">
        <f aca="false">IF(I267&lt;=0,"-",IF(K267-J267&lt;0.8,"A - top 80%",IF(K267-J267&lt;0.95,"B - next 15%","C - tail")))</f>
        <v>C - tail</v>
      </c>
      <c r="M267" s="16" t="n">
        <v>0</v>
      </c>
      <c r="N267" s="16" t="n">
        <v>64389.2857142857</v>
      </c>
      <c r="O267" s="17" t="n">
        <f aca="false">N267-M267</f>
        <v>64389.2857142857</v>
      </c>
      <c r="P267" s="14" t="str">
        <f aca="false">IF(M267&lt;1000,"new",R267)</f>
        <v>new</v>
      </c>
      <c r="Q267" s="4" t="str">
        <f aca="false">IF(LEFT(L267,1)="A",IF(R267&lt;-0.05,"2 FIX","1 PROTECT"),IF(AND(N267&gt;=300000,OR(P267="new",R267&gt;=0.25),LEFT(L267,1)&lt;&gt;"-"),"3 SCALE","4 MAINTAIN"))</f>
        <v>4 MAINTAIN</v>
      </c>
      <c r="R267" s="14" t="n">
        <f aca="false">IF(M267&lt;1000,0,N267/M267-1)</f>
        <v>0</v>
      </c>
    </row>
    <row r="268" customFormat="false" ht="15" hidden="false" customHeight="false" outlineLevel="0" collapsed="false">
      <c r="A268" s="25" t="n">
        <f aca="false">ROW()-5</f>
        <v>263</v>
      </c>
      <c r="B268" s="4" t="s">
        <v>721</v>
      </c>
      <c r="C268" s="4" t="s">
        <v>722</v>
      </c>
      <c r="D268" s="4" t="s">
        <v>78</v>
      </c>
      <c r="E268" s="4" t="s">
        <v>167</v>
      </c>
      <c r="F268" s="16" t="n">
        <v>80265.1785714286</v>
      </c>
      <c r="G268" s="14" t="n">
        <f aca="false">IF(SUMIFS(F$6:F$473,D$6:D$473,D268,E$6:E$473,E268)=0,0,F268/SUMIFS(F$6:F$473,D$6:D$473,D268,E$6:E$473,E268))</f>
        <v>0.0590143014477065</v>
      </c>
      <c r="H268" s="5" t="n">
        <f aca="false">SUMIFS(Pareto_Categories!$G$6:$G$84,Pareto_Categories!$B$6:$B$84,D268,Pareto_Categories!$C$6:$C$84,E268)</f>
        <v>5.01387386744405</v>
      </c>
      <c r="I268" s="28" t="n">
        <f aca="false">G268*H268</f>
        <v>0.295890263834121</v>
      </c>
      <c r="J268" s="29" t="n">
        <f aca="false">I268/$I$475</f>
        <v>0.000255770299828662</v>
      </c>
      <c r="K268" s="14" t="n">
        <f aca="false">SUM(J$6:J268)</f>
        <v>0.96855802359452</v>
      </c>
      <c r="L268" s="4" t="str">
        <f aca="false">IF(I268&lt;=0,"-",IF(K268-J268&lt;0.8,"A - top 80%",IF(K268-J268&lt;0.95,"B - next 15%","C - tail")))</f>
        <v>C - tail</v>
      </c>
      <c r="M268" s="16" t="n">
        <v>81540.1785714286</v>
      </c>
      <c r="N268" s="16" t="n">
        <v>173402.678571429</v>
      </c>
      <c r="O268" s="17" t="n">
        <f aca="false">N268-M268</f>
        <v>91862.5</v>
      </c>
      <c r="P268" s="14" t="n">
        <f aca="false">IF(M268&lt;1000,"new",R268)</f>
        <v>1.12659184232138</v>
      </c>
      <c r="Q268" s="4" t="str">
        <f aca="false">IF(LEFT(L268,1)="A",IF(R268&lt;-0.05,"2 FIX","1 PROTECT"),IF(AND(N268&gt;=300000,OR(P268="new",R268&gt;=0.25),LEFT(L268,1)&lt;&gt;"-"),"3 SCALE","4 MAINTAIN"))</f>
        <v>4 MAINTAIN</v>
      </c>
      <c r="R268" s="14" t="n">
        <f aca="false">IF(M268&lt;1000,0,N268/M268-1)</f>
        <v>1.12659184232138</v>
      </c>
    </row>
    <row r="269" customFormat="false" ht="15" hidden="false" customHeight="false" outlineLevel="0" collapsed="false">
      <c r="A269" s="25" t="n">
        <f aca="false">ROW()-5</f>
        <v>264</v>
      </c>
      <c r="B269" s="4" t="s">
        <v>723</v>
      </c>
      <c r="C269" s="4" t="s">
        <v>724</v>
      </c>
      <c r="D269" s="4" t="s">
        <v>78</v>
      </c>
      <c r="E269" s="4" t="s">
        <v>167</v>
      </c>
      <c r="F269" s="16" t="n">
        <v>79247.0714285714</v>
      </c>
      <c r="G269" s="14" t="n">
        <f aca="false">IF(SUMIFS(F$6:F$473,D$6:D$473,D269,E$6:E$473,E269)=0,0,F269/SUMIFS(F$6:F$473,D$6:D$473,D269,E$6:E$473,E269))</f>
        <v>0.0582657466833118</v>
      </c>
      <c r="H269" s="5" t="n">
        <f aca="false">SUMIFS(Pareto_Categories!$G$6:$G$84,Pareto_Categories!$B$6:$B$84,D269,Pareto_Categories!$C$6:$C$84,E269)</f>
        <v>5.01387386744405</v>
      </c>
      <c r="I269" s="28" t="n">
        <f aca="false">G269*H269</f>
        <v>0.292137104662572</v>
      </c>
      <c r="J269" s="29" t="n">
        <f aca="false">I269/$I$475</f>
        <v>0.000252526034085772</v>
      </c>
      <c r="K269" s="14" t="n">
        <f aca="false">SUM(J$6:J269)</f>
        <v>0.968810549628606</v>
      </c>
      <c r="L269" s="4" t="str">
        <f aca="false">IF(I269&lt;=0,"-",IF(K269-J269&lt;0.8,"A - top 80%",IF(K269-J269&lt;0.95,"B - next 15%","C - tail")))</f>
        <v>C - tail</v>
      </c>
      <c r="M269" s="16" t="n">
        <v>73419.6428571429</v>
      </c>
      <c r="N269" s="16" t="n">
        <v>165050.642857143</v>
      </c>
      <c r="O269" s="17" t="n">
        <f aca="false">N269-M269</f>
        <v>91631</v>
      </c>
      <c r="P269" s="14" t="n">
        <f aca="false">IF(M269&lt;1000,"new",R269)</f>
        <v>1.24804475252341</v>
      </c>
      <c r="Q269" s="4" t="str">
        <f aca="false">IF(LEFT(L269,1)="A",IF(R269&lt;-0.05,"2 FIX","1 PROTECT"),IF(AND(N269&gt;=300000,OR(P269="new",R269&gt;=0.25),LEFT(L269,1)&lt;&gt;"-"),"3 SCALE","4 MAINTAIN"))</f>
        <v>4 MAINTAIN</v>
      </c>
      <c r="R269" s="14" t="n">
        <f aca="false">IF(M269&lt;1000,0,N269/M269-1)</f>
        <v>1.24804475252341</v>
      </c>
    </row>
    <row r="270" customFormat="false" ht="15" hidden="false" customHeight="false" outlineLevel="0" collapsed="false">
      <c r="A270" s="25" t="n">
        <f aca="false">ROW()-5</f>
        <v>265</v>
      </c>
      <c r="B270" s="4" t="s">
        <v>725</v>
      </c>
      <c r="C270" s="4" t="s">
        <v>726</v>
      </c>
      <c r="D270" s="4" t="s">
        <v>78</v>
      </c>
      <c r="E270" s="4" t="s">
        <v>154</v>
      </c>
      <c r="F270" s="16" t="n">
        <v>91116.0714285714</v>
      </c>
      <c r="G270" s="14" t="n">
        <f aca="false">IF(SUMIFS(F$6:F$473,D$6:D$473,D270,E$6:E$473,E270)=0,0,F270/SUMIFS(F$6:F$473,D$6:D$473,D270,E$6:E$473,E270))</f>
        <v>0.00242916829758063</v>
      </c>
      <c r="H270" s="5" t="n">
        <f aca="false">SUMIFS(Pareto_Categories!$G$6:$G$84,Pareto_Categories!$B$6:$B$84,D270,Pareto_Categories!$C$6:$C$84,E270)</f>
        <v>120.122971429313</v>
      </c>
      <c r="I270" s="28" t="n">
        <f aca="false">G270*H270</f>
        <v>0.291798914007271</v>
      </c>
      <c r="J270" s="29" t="n">
        <f aca="false">I270/$I$475</f>
        <v>0.000252233698933595</v>
      </c>
      <c r="K270" s="14" t="n">
        <f aca="false">SUM(J$6:J270)</f>
        <v>0.96906278332754</v>
      </c>
      <c r="L270" s="4" t="str">
        <f aca="false">IF(I270&lt;=0,"-",IF(K270-J270&lt;0.8,"A - top 80%",IF(K270-J270&lt;0.95,"B - next 15%","C - tail")))</f>
        <v>C - tail</v>
      </c>
      <c r="M270" s="16" t="n">
        <v>89.2857142857143</v>
      </c>
      <c r="N270" s="16" t="n">
        <v>137232.142857143</v>
      </c>
      <c r="O270" s="17" t="n">
        <f aca="false">N270-M270</f>
        <v>137142.857142857</v>
      </c>
      <c r="P270" s="14" t="str">
        <f aca="false">IF(M270&lt;1000,"new",R270)</f>
        <v>new</v>
      </c>
      <c r="Q270" s="4" t="str">
        <f aca="false">IF(LEFT(L270,1)="A",IF(R270&lt;-0.05,"2 FIX","1 PROTECT"),IF(AND(N270&gt;=300000,OR(P270="new",R270&gt;=0.25),LEFT(L270,1)&lt;&gt;"-"),"3 SCALE","4 MAINTAIN"))</f>
        <v>4 MAINTAIN</v>
      </c>
      <c r="R270" s="14" t="n">
        <f aca="false">IF(M270&lt;1000,0,N270/M270-1)</f>
        <v>0</v>
      </c>
    </row>
    <row r="271" customFormat="false" ht="15" hidden="false" customHeight="false" outlineLevel="0" collapsed="false">
      <c r="A271" s="25" t="n">
        <f aca="false">ROW()-5</f>
        <v>266</v>
      </c>
      <c r="B271" s="4" t="s">
        <v>727</v>
      </c>
      <c r="C271" s="4" t="s">
        <v>728</v>
      </c>
      <c r="D271" s="4" t="s">
        <v>78</v>
      </c>
      <c r="E271" s="4" t="s">
        <v>167</v>
      </c>
      <c r="F271" s="16" t="n">
        <v>78278.5714285714</v>
      </c>
      <c r="G271" s="14" t="n">
        <f aca="false">IF(SUMIFS(F$6:F$473,D$6:D$473,D271,E$6:E$473,E271)=0,0,F271/SUMIFS(F$6:F$473,D$6:D$473,D271,E$6:E$473,E271))</f>
        <v>0.0575536651559377</v>
      </c>
      <c r="H271" s="5" t="n">
        <f aca="false">SUMIFS(Pareto_Categories!$G$6:$G$84,Pareto_Categories!$B$6:$B$84,D271,Pareto_Categories!$C$6:$C$84,E271)</f>
        <v>5.01387386744405</v>
      </c>
      <c r="I271" s="28" t="n">
        <f aca="false">G271*H271</f>
        <v>0.288566817700981</v>
      </c>
      <c r="J271" s="29" t="n">
        <f aca="false">I271/$I$475</f>
        <v>0.000249439844784348</v>
      </c>
      <c r="K271" s="14" t="n">
        <f aca="false">SUM(J$6:J271)</f>
        <v>0.969312223172324</v>
      </c>
      <c r="L271" s="4" t="str">
        <f aca="false">IF(I271&lt;=0,"-",IF(K271-J271&lt;0.8,"A - top 80%",IF(K271-J271&lt;0.95,"B - next 15%","C - tail")))</f>
        <v>C - tail</v>
      </c>
      <c r="M271" s="16" t="n">
        <v>69826.7857142857</v>
      </c>
      <c r="N271" s="16" t="n">
        <v>160105.357142857</v>
      </c>
      <c r="O271" s="17" t="n">
        <f aca="false">N271-M271</f>
        <v>90278.5714285714</v>
      </c>
      <c r="P271" s="14" t="n">
        <f aca="false">IF(M271&lt;1000,"new",R271)</f>
        <v>1.29289312840447</v>
      </c>
      <c r="Q271" s="4" t="str">
        <f aca="false">IF(LEFT(L271,1)="A",IF(R271&lt;-0.05,"2 FIX","1 PROTECT"),IF(AND(N271&gt;=300000,OR(P271="new",R271&gt;=0.25),LEFT(L271,1)&lt;&gt;"-"),"3 SCALE","4 MAINTAIN"))</f>
        <v>4 MAINTAIN</v>
      </c>
      <c r="R271" s="14" t="n">
        <f aca="false">IF(M271&lt;1000,0,N271/M271-1)</f>
        <v>1.29289312840447</v>
      </c>
    </row>
    <row r="272" customFormat="false" ht="15" hidden="false" customHeight="false" outlineLevel="0" collapsed="false">
      <c r="A272" s="25" t="n">
        <f aca="false">ROW()-5</f>
        <v>267</v>
      </c>
      <c r="B272" s="4" t="s">
        <v>729</v>
      </c>
      <c r="C272" s="4" t="s">
        <v>730</v>
      </c>
      <c r="D272" s="4" t="s">
        <v>78</v>
      </c>
      <c r="E272" s="4" t="s">
        <v>166</v>
      </c>
      <c r="F272" s="16" t="n">
        <v>69247.3214285714</v>
      </c>
      <c r="G272" s="14" t="n">
        <f aca="false">IF(SUMIFS(F$6:F$473,D$6:D$473,D272,E$6:E$473,E272)=0,0,F272/SUMIFS(F$6:F$473,D$6:D$473,D272,E$6:E$473,E272))</f>
        <v>0.0204031843057729</v>
      </c>
      <c r="H272" s="5" t="n">
        <f aca="false">SUMIFS(Pareto_Categories!$G$6:$G$84,Pareto_Categories!$B$6:$B$84,D272,Pareto_Categories!$C$6:$C$84,E272)</f>
        <v>13.503490691206</v>
      </c>
      <c r="I272" s="28" t="n">
        <f aca="false">G272*H272</f>
        <v>0.275514209343963</v>
      </c>
      <c r="J272" s="29" t="n">
        <f aca="false">I272/$I$475</f>
        <v>0.000238157048555229</v>
      </c>
      <c r="K272" s="14" t="n">
        <f aca="false">SUM(J$6:J272)</f>
        <v>0.969550380220879</v>
      </c>
      <c r="L272" s="4" t="str">
        <f aca="false">IF(I272&lt;=0,"-",IF(K272-J272&lt;0.8,"A - top 80%",IF(K272-J272&lt;0.95,"B - next 15%","C - tail")))</f>
        <v>C - tail</v>
      </c>
      <c r="M272" s="16" t="n">
        <v>218009.821428571</v>
      </c>
      <c r="N272" s="16" t="n">
        <v>162411.607142857</v>
      </c>
      <c r="O272" s="17" t="n">
        <f aca="false">N272-M272</f>
        <v>-55598.2142857143</v>
      </c>
      <c r="P272" s="14" t="n">
        <f aca="false">IF(M272&lt;1000,"new",R272)</f>
        <v>-0.255026190661463</v>
      </c>
      <c r="Q272" s="4" t="str">
        <f aca="false">IF(LEFT(L272,1)="A",IF(R272&lt;-0.05,"2 FIX","1 PROTECT"),IF(AND(N272&gt;=300000,OR(P272="new",R272&gt;=0.25),LEFT(L272,1)&lt;&gt;"-"),"3 SCALE","4 MAINTAIN"))</f>
        <v>4 MAINTAIN</v>
      </c>
      <c r="R272" s="14" t="n">
        <f aca="false">IF(M272&lt;1000,0,N272/M272-1)</f>
        <v>-0.255026190661463</v>
      </c>
    </row>
    <row r="273" customFormat="false" ht="15" hidden="false" customHeight="false" outlineLevel="0" collapsed="false">
      <c r="A273" s="25" t="n">
        <f aca="false">ROW()-5</f>
        <v>268</v>
      </c>
      <c r="B273" s="4" t="s">
        <v>731</v>
      </c>
      <c r="C273" s="4" t="s">
        <v>732</v>
      </c>
      <c r="D273" s="4" t="s">
        <v>78</v>
      </c>
      <c r="E273" s="4" t="s">
        <v>156</v>
      </c>
      <c r="F273" s="16" t="n">
        <v>96186.6071428571</v>
      </c>
      <c r="G273" s="14" t="n">
        <f aca="false">IF(SUMIFS(F$6:F$473,D$6:D$473,D273,E$6:E$473,E273)=0,0,F273/SUMIFS(F$6:F$473,D$6:D$473,D273,E$6:E$473,E273))</f>
        <v>0.00534094154089042</v>
      </c>
      <c r="H273" s="5" t="n">
        <f aca="false">SUMIFS(Pareto_Categories!$G$6:$G$84,Pareto_Categories!$B$6:$B$84,D273,Pareto_Categories!$C$6:$C$84,E273)</f>
        <v>51.0983233945647</v>
      </c>
      <c r="I273" s="28" t="n">
        <f aca="false">G273*H273</f>
        <v>0.272913158087884</v>
      </c>
      <c r="J273" s="29" t="n">
        <f aca="false">I273/$I$475</f>
        <v>0.000235908675624614</v>
      </c>
      <c r="K273" s="14" t="n">
        <f aca="false">SUM(J$6:J273)</f>
        <v>0.969786288896504</v>
      </c>
      <c r="L273" s="4" t="str">
        <f aca="false">IF(I273&lt;=0,"-",IF(K273-J273&lt;0.8,"A - top 80%",IF(K273-J273&lt;0.95,"B - next 15%","C - tail")))</f>
        <v>C - tail</v>
      </c>
      <c r="M273" s="16" t="n">
        <v>288886.928571429</v>
      </c>
      <c r="N273" s="16" t="n">
        <v>233995.535714286</v>
      </c>
      <c r="O273" s="17" t="n">
        <f aca="false">N273-M273</f>
        <v>-54891.3928571428</v>
      </c>
      <c r="P273" s="14" t="n">
        <f aca="false">IF(M273&lt;1000,"new",R273)</f>
        <v>-0.190009956935697</v>
      </c>
      <c r="Q273" s="4" t="str">
        <f aca="false">IF(LEFT(L273,1)="A",IF(R273&lt;-0.05,"2 FIX","1 PROTECT"),IF(AND(N273&gt;=300000,OR(P273="new",R273&gt;=0.25),LEFT(L273,1)&lt;&gt;"-"),"3 SCALE","4 MAINTAIN"))</f>
        <v>4 MAINTAIN</v>
      </c>
      <c r="R273" s="14" t="n">
        <f aca="false">IF(M273&lt;1000,0,N273/M273-1)</f>
        <v>-0.190009956935697</v>
      </c>
    </row>
    <row r="274" customFormat="false" ht="15" hidden="false" customHeight="false" outlineLevel="0" collapsed="false">
      <c r="A274" s="25" t="n">
        <f aca="false">ROW()-5</f>
        <v>269</v>
      </c>
      <c r="B274" s="4" t="s">
        <v>733</v>
      </c>
      <c r="C274" s="4" t="s">
        <v>734</v>
      </c>
      <c r="D274" s="4" t="s">
        <v>78</v>
      </c>
      <c r="E274" s="4" t="s">
        <v>156</v>
      </c>
      <c r="F274" s="16" t="n">
        <v>95748.2142857143</v>
      </c>
      <c r="G274" s="14" t="n">
        <f aca="false">IF(SUMIFS(F$6:F$473,D$6:D$473,D274,E$6:E$473,E274)=0,0,F274/SUMIFS(F$6:F$473,D$6:D$473,D274,E$6:E$473,E274))</f>
        <v>0.00531659895628853</v>
      </c>
      <c r="H274" s="5" t="n">
        <f aca="false">SUMIFS(Pareto_Categories!$G$6:$G$84,Pareto_Categories!$B$6:$B$84,D274,Pareto_Categories!$C$6:$C$84,E274)</f>
        <v>51.0983233945647</v>
      </c>
      <c r="I274" s="28" t="n">
        <f aca="false">G274*H274</f>
        <v>0.271669292827637</v>
      </c>
      <c r="J274" s="29" t="n">
        <f aca="false">I274/$I$475</f>
        <v>0.000234833466908932</v>
      </c>
      <c r="K274" s="14" t="n">
        <f aca="false">SUM(J$6:J274)</f>
        <v>0.970021122363413</v>
      </c>
      <c r="L274" s="4" t="str">
        <f aca="false">IF(I274&lt;=0,"-",IF(K274-J274&lt;0.8,"A - top 80%",IF(K274-J274&lt;0.95,"B - next 15%","C - tail")))</f>
        <v>C - tail</v>
      </c>
      <c r="M274" s="16" t="n">
        <v>342732.142857143</v>
      </c>
      <c r="N274" s="16" t="n">
        <v>275407.142857143</v>
      </c>
      <c r="O274" s="17" t="n">
        <f aca="false">N274-M274</f>
        <v>-67325</v>
      </c>
      <c r="P274" s="14" t="n">
        <f aca="false">IF(M274&lt;1000,"new",R274)</f>
        <v>-0.196436200698171</v>
      </c>
      <c r="Q274" s="4" t="str">
        <f aca="false">IF(LEFT(L274,1)="A",IF(R274&lt;-0.05,"2 FIX","1 PROTECT"),IF(AND(N274&gt;=300000,OR(P274="new",R274&gt;=0.25),LEFT(L274,1)&lt;&gt;"-"),"3 SCALE","4 MAINTAIN"))</f>
        <v>4 MAINTAIN</v>
      </c>
      <c r="R274" s="14" t="n">
        <f aca="false">IF(M274&lt;1000,0,N274/M274-1)</f>
        <v>-0.196436200698171</v>
      </c>
    </row>
    <row r="275" customFormat="false" ht="15" hidden="false" customHeight="false" outlineLevel="0" collapsed="false">
      <c r="A275" s="25" t="n">
        <f aca="false">ROW()-5</f>
        <v>270</v>
      </c>
      <c r="B275" s="4" t="s">
        <v>735</v>
      </c>
      <c r="C275" s="4" t="s">
        <v>736</v>
      </c>
      <c r="D275" s="4" t="s">
        <v>78</v>
      </c>
      <c r="E275" s="4" t="s">
        <v>157</v>
      </c>
      <c r="F275" s="16" t="n">
        <v>89040.1785714286</v>
      </c>
      <c r="G275" s="14" t="n">
        <f aca="false">IF(SUMIFS(F$6:F$473,D$6:D$473,D275,E$6:E$473,E275)=0,0,F275/SUMIFS(F$6:F$473,D$6:D$473,D275,E$6:E$473,E275))</f>
        <v>0.00689642077912265</v>
      </c>
      <c r="H275" s="5" t="n">
        <f aca="false">SUMIFS(Pareto_Categories!$G$6:$G$84,Pareto_Categories!$B$6:$B$84,D275,Pareto_Categories!$C$6:$C$84,E275)</f>
        <v>38.9811115222903</v>
      </c>
      <c r="I275" s="28" t="n">
        <f aca="false">G275*H275</f>
        <v>0.26883014749562</v>
      </c>
      <c r="J275" s="29" t="n">
        <f aca="false">I275/$I$475</f>
        <v>0.000232379283241591</v>
      </c>
      <c r="K275" s="14" t="n">
        <f aca="false">SUM(J$6:J275)</f>
        <v>0.970253501646655</v>
      </c>
      <c r="L275" s="4" t="str">
        <f aca="false">IF(I275&lt;=0,"-",IF(K275-J275&lt;0.8,"A - top 80%",IF(K275-J275&lt;0.95,"B - next 15%","C - tail")))</f>
        <v>C - tail</v>
      </c>
      <c r="M275" s="16" t="n">
        <v>219175</v>
      </c>
      <c r="N275" s="16" t="n">
        <v>175336.607142857</v>
      </c>
      <c r="O275" s="17" t="n">
        <f aca="false">N275-M275</f>
        <v>-43838.3928571429</v>
      </c>
      <c r="P275" s="14" t="n">
        <f aca="false">IF(M275&lt;1000,"new",R275)</f>
        <v>-0.200015480128404</v>
      </c>
      <c r="Q275" s="4" t="str">
        <f aca="false">IF(LEFT(L275,1)="A",IF(R275&lt;-0.05,"2 FIX","1 PROTECT"),IF(AND(N275&gt;=300000,OR(P275="new",R275&gt;=0.25),LEFT(L275,1)&lt;&gt;"-"),"3 SCALE","4 MAINTAIN"))</f>
        <v>4 MAINTAIN</v>
      </c>
      <c r="R275" s="14" t="n">
        <f aca="false">IF(M275&lt;1000,0,N275/M275-1)</f>
        <v>-0.200015480128404</v>
      </c>
    </row>
    <row r="276" customFormat="false" ht="15" hidden="false" customHeight="false" outlineLevel="0" collapsed="false">
      <c r="A276" s="25" t="n">
        <f aca="false">ROW()-5</f>
        <v>271</v>
      </c>
      <c r="B276" s="4" t="s">
        <v>737</v>
      </c>
      <c r="C276" s="4" t="s">
        <v>738</v>
      </c>
      <c r="D276" s="4" t="s">
        <v>83</v>
      </c>
      <c r="E276" s="4" t="s">
        <v>156</v>
      </c>
      <c r="F276" s="16" t="n">
        <v>8466.07142857143</v>
      </c>
      <c r="G276" s="14" t="n">
        <f aca="false">IF(SUMIFS(F$6:F$473,D$6:D$473,D276,E$6:E$473,E276)=0,0,F276/SUMIFS(F$6:F$473,D$6:D$473,D276,E$6:E$473,E276))</f>
        <v>0.255627746475076</v>
      </c>
      <c r="H276" s="5" t="n">
        <f aca="false">SUMIFS(Pareto_Categories!$G$6:$G$84,Pareto_Categories!$B$6:$B$84,D276,Pareto_Categories!$C$6:$C$84,E276)</f>
        <v>1.00612895078728</v>
      </c>
      <c r="I276" s="28" t="n">
        <f aca="false">G276*H276</f>
        <v>0.257194476353084</v>
      </c>
      <c r="J276" s="29" t="n">
        <f aca="false">I276/$I$475</f>
        <v>0.000222321300737298</v>
      </c>
      <c r="K276" s="14" t="n">
        <f aca="false">SUM(J$6:J276)</f>
        <v>0.970475822947392</v>
      </c>
      <c r="L276" s="4" t="str">
        <f aca="false">IF(I276&lt;=0,"-",IF(K276-J276&lt;0.8,"A - top 80%",IF(K276-J276&lt;0.95,"B - next 15%","C - tail")))</f>
        <v>C - tail</v>
      </c>
      <c r="M276" s="16" t="n">
        <v>12699.1071428571</v>
      </c>
      <c r="N276" s="16" t="n">
        <v>12699.1071428571</v>
      </c>
      <c r="O276" s="17" t="n">
        <f aca="false">N276-M276</f>
        <v>0</v>
      </c>
      <c r="P276" s="14" t="n">
        <f aca="false">IF(M276&lt;1000,"new",R276)</f>
        <v>0</v>
      </c>
      <c r="Q276" s="4" t="str">
        <f aca="false">IF(LEFT(L276,1)="A",IF(R276&lt;-0.05,"2 FIX","1 PROTECT"),IF(AND(N276&gt;=300000,OR(P276="new",R276&gt;=0.25),LEFT(L276,1)&lt;&gt;"-"),"3 SCALE","4 MAINTAIN"))</f>
        <v>4 MAINTAIN</v>
      </c>
      <c r="R276" s="14" t="n">
        <f aca="false">IF(M276&lt;1000,0,N276/M276-1)</f>
        <v>0</v>
      </c>
    </row>
    <row r="277" customFormat="false" ht="15" hidden="false" customHeight="false" outlineLevel="0" collapsed="false">
      <c r="A277" s="25" t="n">
        <f aca="false">ROW()-5</f>
        <v>272</v>
      </c>
      <c r="B277" s="4" t="s">
        <v>739</v>
      </c>
      <c r="C277" s="4" t="s">
        <v>740</v>
      </c>
      <c r="D277" s="4" t="s">
        <v>78</v>
      </c>
      <c r="E277" s="4" t="s">
        <v>165</v>
      </c>
      <c r="F277" s="16" t="n">
        <v>54424.3392857143</v>
      </c>
      <c r="G277" s="14" t="n">
        <f aca="false">IF(SUMIFS(F$6:F$473,D$6:D$473,D277,E$6:E$473,E277)=0,0,F277/SUMIFS(F$6:F$473,D$6:D$473,D277,E$6:E$473,E277))</f>
        <v>0.0154554702063784</v>
      </c>
      <c r="H277" s="5" t="n">
        <f aca="false">SUMIFS(Pareto_Categories!$G$6:$G$84,Pareto_Categories!$B$6:$B$84,D277,Pareto_Categories!$C$6:$C$84,E277)</f>
        <v>16.2037922025372</v>
      </c>
      <c r="I277" s="28" t="n">
        <f aca="false">G277*H277</f>
        <v>0.250437227616661</v>
      </c>
      <c r="J277" s="29" t="n">
        <f aca="false">I277/$I$475</f>
        <v>0.000216480271995978</v>
      </c>
      <c r="K277" s="14" t="n">
        <f aca="false">SUM(J$6:J277)</f>
        <v>0.970692303219388</v>
      </c>
      <c r="L277" s="4" t="str">
        <f aca="false">IF(I277&lt;=0,"-",IF(K277-J277&lt;0.8,"A - top 80%",IF(K277-J277&lt;0.95,"B - next 15%","C - tail")))</f>
        <v>C - tail</v>
      </c>
      <c r="M277" s="16" t="n">
        <v>0</v>
      </c>
      <c r="N277" s="16" t="n">
        <v>121656.571428571</v>
      </c>
      <c r="O277" s="17" t="n">
        <f aca="false">N277-M277</f>
        <v>121656.571428571</v>
      </c>
      <c r="P277" s="14" t="str">
        <f aca="false">IF(M277&lt;1000,"new",R277)</f>
        <v>new</v>
      </c>
      <c r="Q277" s="4" t="str">
        <f aca="false">IF(LEFT(L277,1)="A",IF(R277&lt;-0.05,"2 FIX","1 PROTECT"),IF(AND(N277&gt;=300000,OR(P277="new",R277&gt;=0.25),LEFT(L277,1)&lt;&gt;"-"),"3 SCALE","4 MAINTAIN"))</f>
        <v>4 MAINTAIN</v>
      </c>
      <c r="R277" s="14" t="n">
        <f aca="false">IF(M277&lt;1000,0,N277/M277-1)</f>
        <v>0</v>
      </c>
    </row>
    <row r="278" customFormat="false" ht="15" hidden="false" customHeight="false" outlineLevel="0" collapsed="false">
      <c r="A278" s="25" t="n">
        <f aca="false">ROW()-5</f>
        <v>273</v>
      </c>
      <c r="B278" s="4" t="s">
        <v>741</v>
      </c>
      <c r="C278" s="4" t="s">
        <v>742</v>
      </c>
      <c r="D278" s="4" t="s">
        <v>78</v>
      </c>
      <c r="E278" s="4" t="s">
        <v>169</v>
      </c>
      <c r="F278" s="16" t="n">
        <v>53323.2142857143</v>
      </c>
      <c r="G278" s="14" t="n">
        <f aca="false">IF(SUMIFS(F$6:F$473,D$6:D$473,D278,E$6:E$473,E278)=0,0,F278/SUMIFS(F$6:F$473,D$6:D$473,D278,E$6:E$473,E278))</f>
        <v>0.0490162202799872</v>
      </c>
      <c r="H278" s="5" t="n">
        <f aca="false">SUMIFS(Pareto_Categories!$G$6:$G$84,Pareto_Categories!$B$6:$B$84,D278,Pareto_Categories!$C$6:$C$84,E278)</f>
        <v>4.89526180272377</v>
      </c>
      <c r="I278" s="28" t="n">
        <f aca="false">G278*H278</f>
        <v>0.239947230850515</v>
      </c>
      <c r="J278" s="29" t="n">
        <f aca="false">I278/$I$475</f>
        <v>0.000207412621092862</v>
      </c>
      <c r="K278" s="14" t="n">
        <f aca="false">SUM(J$6:J278)</f>
        <v>0.970899715840481</v>
      </c>
      <c r="L278" s="4" t="str">
        <f aca="false">IF(I278&lt;=0,"-",IF(K278-J278&lt;0.8,"A - top 80%",IF(K278-J278&lt;0.95,"B - next 15%","C - tail")))</f>
        <v>C - tail</v>
      </c>
      <c r="M278" s="16" t="n">
        <v>135707.142857143</v>
      </c>
      <c r="N278" s="16" t="n">
        <v>109516.071428571</v>
      </c>
      <c r="O278" s="17" t="n">
        <f aca="false">N278-M278</f>
        <v>-26191.0714285714</v>
      </c>
      <c r="P278" s="14" t="n">
        <f aca="false">IF(M278&lt;1000,"new",R278)</f>
        <v>-0.192996999842097</v>
      </c>
      <c r="Q278" s="4" t="str">
        <f aca="false">IF(LEFT(L278,1)="A",IF(R278&lt;-0.05,"2 FIX","1 PROTECT"),IF(AND(N278&gt;=300000,OR(P278="new",R278&gt;=0.25),LEFT(L278,1)&lt;&gt;"-"),"3 SCALE","4 MAINTAIN"))</f>
        <v>4 MAINTAIN</v>
      </c>
      <c r="R278" s="14" t="n">
        <f aca="false">IF(M278&lt;1000,0,N278/M278-1)</f>
        <v>-0.192996999842097</v>
      </c>
    </row>
    <row r="279" customFormat="false" ht="15" hidden="false" customHeight="false" outlineLevel="0" collapsed="false">
      <c r="A279" s="25" t="n">
        <f aca="false">ROW()-5</f>
        <v>274</v>
      </c>
      <c r="B279" s="4" t="s">
        <v>743</v>
      </c>
      <c r="C279" s="4" t="s">
        <v>744</v>
      </c>
      <c r="D279" s="4" t="s">
        <v>78</v>
      </c>
      <c r="E279" s="4" t="s">
        <v>154</v>
      </c>
      <c r="F279" s="16" t="n">
        <v>73334.8214285714</v>
      </c>
      <c r="G279" s="14" t="n">
        <f aca="false">IF(SUMIFS(F$6:F$473,D$6:D$473,D279,E$6:E$473,E279)=0,0,F279/SUMIFS(F$6:F$473,D$6:D$473,D279,E$6:E$473,E279))</f>
        <v>0.00195511747302092</v>
      </c>
      <c r="H279" s="5" t="n">
        <f aca="false">SUMIFS(Pareto_Categories!$G$6:$G$84,Pareto_Categories!$B$6:$B$84,D279,Pareto_Categories!$C$6:$C$84,E279)</f>
        <v>120.122971429313</v>
      </c>
      <c r="I279" s="28" t="n">
        <f aca="false">G279*H279</f>
        <v>0.234854520352643</v>
      </c>
      <c r="J279" s="29" t="n">
        <f aca="false">I279/$I$475</f>
        <v>0.000203010434707602</v>
      </c>
      <c r="K279" s="14" t="n">
        <f aca="false">SUM(J$6:J279)</f>
        <v>0.971102726275188</v>
      </c>
      <c r="L279" s="4" t="str">
        <f aca="false">IF(I279&lt;=0,"-",IF(K279-J279&lt;0.8,"A - top 80%",IF(K279-J279&lt;0.95,"B - next 15%","C - tail")))</f>
        <v>C - tail</v>
      </c>
      <c r="M279" s="16" t="n">
        <v>220537.5</v>
      </c>
      <c r="N279" s="16" t="n">
        <v>172324.107142857</v>
      </c>
      <c r="O279" s="17" t="n">
        <f aca="false">N279-M279</f>
        <v>-48213.3928571429</v>
      </c>
      <c r="P279" s="14" t="n">
        <f aca="false">IF(M279&lt;1000,"new",R279)</f>
        <v>-0.218617663014875</v>
      </c>
      <c r="Q279" s="4" t="str">
        <f aca="false">IF(LEFT(L279,1)="A",IF(R279&lt;-0.05,"2 FIX","1 PROTECT"),IF(AND(N279&gt;=300000,OR(P279="new",R279&gt;=0.25),LEFT(L279,1)&lt;&gt;"-"),"3 SCALE","4 MAINTAIN"))</f>
        <v>4 MAINTAIN</v>
      </c>
      <c r="R279" s="14" t="n">
        <f aca="false">IF(M279&lt;1000,0,N279/M279-1)</f>
        <v>-0.218617663014875</v>
      </c>
    </row>
    <row r="280" customFormat="false" ht="15" hidden="false" customHeight="false" outlineLevel="0" collapsed="false">
      <c r="A280" s="25" t="n">
        <f aca="false">ROW()-5</f>
        <v>275</v>
      </c>
      <c r="B280" s="4" t="s">
        <v>745</v>
      </c>
      <c r="C280" s="4" t="s">
        <v>746</v>
      </c>
      <c r="D280" s="4" t="s">
        <v>78</v>
      </c>
      <c r="E280" s="4" t="s">
        <v>171</v>
      </c>
      <c r="F280" s="16" t="n">
        <v>77901.7857142857</v>
      </c>
      <c r="G280" s="14" t="n">
        <f aca="false">IF(SUMIFS(F$6:F$473,D$6:D$473,D280,E$6:E$473,E280)=0,0,F280/SUMIFS(F$6:F$473,D$6:D$473,D280,E$6:E$473,E280))</f>
        <v>0.126597195929424</v>
      </c>
      <c r="H280" s="5" t="n">
        <f aca="false">SUMIFS(Pareto_Categories!$G$6:$G$84,Pareto_Categories!$B$6:$B$84,D280,Pareto_Categories!$C$6:$C$84,E280)</f>
        <v>1.80666823968793</v>
      </c>
      <c r="I280" s="28" t="n">
        <f aca="false">G280*H280</f>
        <v>0.22871913311924</v>
      </c>
      <c r="J280" s="29" t="n">
        <f aca="false">I280/$I$475</f>
        <v>0.000197706948841193</v>
      </c>
      <c r="K280" s="14" t="n">
        <f aca="false">SUM(J$6:J280)</f>
        <v>0.97130043322403</v>
      </c>
      <c r="L280" s="4" t="str">
        <f aca="false">IF(I280&lt;=0,"-",IF(K280-J280&lt;0.8,"A - top 80%",IF(K280-J280&lt;0.95,"B - next 15%","C - tail")))</f>
        <v>C - tail</v>
      </c>
      <c r="M280" s="16" t="n">
        <v>140937.5</v>
      </c>
      <c r="N280" s="16" t="n">
        <v>160959.821428571</v>
      </c>
      <c r="O280" s="17" t="n">
        <f aca="false">N280-M280</f>
        <v>20022.3214285714</v>
      </c>
      <c r="P280" s="14" t="n">
        <f aca="false">IF(M280&lt;1000,"new",R280)</f>
        <v>0.142065251821349</v>
      </c>
      <c r="Q280" s="4" t="str">
        <f aca="false">IF(LEFT(L280,1)="A",IF(R280&lt;-0.05,"2 FIX","1 PROTECT"),IF(AND(N280&gt;=300000,OR(P280="new",R280&gt;=0.25),LEFT(L280,1)&lt;&gt;"-"),"3 SCALE","4 MAINTAIN"))</f>
        <v>4 MAINTAIN</v>
      </c>
      <c r="R280" s="14" t="n">
        <f aca="false">IF(M280&lt;1000,0,N280/M280-1)</f>
        <v>0.142065251821349</v>
      </c>
    </row>
    <row r="281" customFormat="false" ht="15" hidden="false" customHeight="false" outlineLevel="0" collapsed="false">
      <c r="A281" s="25" t="n">
        <f aca="false">ROW()-5</f>
        <v>276</v>
      </c>
      <c r="B281" s="4" t="s">
        <v>747</v>
      </c>
      <c r="C281" s="4" t="s">
        <v>748</v>
      </c>
      <c r="D281" s="4" t="s">
        <v>78</v>
      </c>
      <c r="E281" s="4" t="s">
        <v>162</v>
      </c>
      <c r="F281" s="16" t="n">
        <v>72878.5714285714</v>
      </c>
      <c r="G281" s="14" t="n">
        <f aca="false">IF(SUMIFS(F$6:F$473,D$6:D$473,D281,E$6:E$473,E281)=0,0,F281/SUMIFS(F$6:F$473,D$6:D$473,D281,E$6:E$473,E281))</f>
        <v>0.0111489892578811</v>
      </c>
      <c r="H281" s="5" t="n">
        <f aca="false">SUMIFS(Pareto_Categories!$G$6:$G$84,Pareto_Categories!$B$6:$B$84,D281,Pareto_Categories!$C$6:$C$84,E281)</f>
        <v>20.4788803648929</v>
      </c>
      <c r="I281" s="28" t="n">
        <f aca="false">G281*H281</f>
        <v>0.228318817201623</v>
      </c>
      <c r="J281" s="29" t="n">
        <f aca="false">I281/$I$475</f>
        <v>0.000197360912033667</v>
      </c>
      <c r="K281" s="14" t="n">
        <f aca="false">SUM(J$6:J281)</f>
        <v>0.971497794136063</v>
      </c>
      <c r="L281" s="4" t="str">
        <f aca="false">IF(I281&lt;=0,"-",IF(K281-J281&lt;0.8,"A - top 80%",IF(K281-J281&lt;0.95,"B - next 15%","C - tail")))</f>
        <v>C - tail</v>
      </c>
      <c r="M281" s="16" t="n">
        <v>18441.9642857143</v>
      </c>
      <c r="N281" s="16" t="n">
        <v>175300.892857143</v>
      </c>
      <c r="O281" s="17" t="n">
        <f aca="false">N281-M281</f>
        <v>156858.928571429</v>
      </c>
      <c r="P281" s="14" t="n">
        <f aca="false">IF(M281&lt;1000,"new",R281)</f>
        <v>8.50554345194868</v>
      </c>
      <c r="Q281" s="4" t="str">
        <f aca="false">IF(LEFT(L281,1)="A",IF(R281&lt;-0.05,"2 FIX","1 PROTECT"),IF(AND(N281&gt;=300000,OR(P281="new",R281&gt;=0.25),LEFT(L281,1)&lt;&gt;"-"),"3 SCALE","4 MAINTAIN"))</f>
        <v>4 MAINTAIN</v>
      </c>
      <c r="R281" s="14" t="n">
        <f aca="false">IF(M281&lt;1000,0,N281/M281-1)</f>
        <v>8.50554345194868</v>
      </c>
    </row>
    <row r="282" customFormat="false" ht="15" hidden="false" customHeight="false" outlineLevel="0" collapsed="false">
      <c r="A282" s="25" t="n">
        <f aca="false">ROW()-5</f>
        <v>277</v>
      </c>
      <c r="B282" s="4" t="s">
        <v>749</v>
      </c>
      <c r="C282" s="4" t="s">
        <v>750</v>
      </c>
      <c r="D282" s="4" t="s">
        <v>78</v>
      </c>
      <c r="E282" s="4" t="s">
        <v>153</v>
      </c>
      <c r="F282" s="16" t="n">
        <v>49572.3214285714</v>
      </c>
      <c r="G282" s="14" t="n">
        <f aca="false">IF(SUMIFS(F$6:F$473,D$6:D$473,D282,E$6:E$473,E282)=0,0,F282/SUMIFS(F$6:F$473,D$6:D$473,D282,E$6:E$473,E282))</f>
        <v>0.00146820697360963</v>
      </c>
      <c r="H282" s="5" t="n">
        <f aca="false">SUMIFS(Pareto_Categories!$G$6:$G$84,Pareto_Categories!$B$6:$B$84,D282,Pareto_Categories!$C$6:$C$84,E282)</f>
        <v>152.006736079647</v>
      </c>
      <c r="I282" s="28" t="n">
        <f aca="false">G282*H282</f>
        <v>0.223177349947775</v>
      </c>
      <c r="J282" s="29" t="n">
        <f aca="false">I282/$I$475</f>
        <v>0.000192916579854448</v>
      </c>
      <c r="K282" s="14" t="n">
        <f aca="false">SUM(J$6:J282)</f>
        <v>0.971690710715918</v>
      </c>
      <c r="L282" s="4" t="str">
        <f aca="false">IF(I282&lt;=0,"-",IF(K282-J282&lt;0.8,"A - top 80%",IF(K282-J282&lt;0.95,"B - next 15%","C - tail")))</f>
        <v>C - tail</v>
      </c>
      <c r="M282" s="16" t="n">
        <v>510650.892857143</v>
      </c>
      <c r="N282" s="16" t="n">
        <v>316441.071428571</v>
      </c>
      <c r="O282" s="17" t="n">
        <f aca="false">N282-M282</f>
        <v>-194209.821428571</v>
      </c>
      <c r="P282" s="14" t="n">
        <f aca="false">IF(M282&lt;1000,"new",R282)</f>
        <v>-0.380318186348305</v>
      </c>
      <c r="Q282" s="4" t="str">
        <f aca="false">IF(LEFT(L282,1)="A",IF(R282&lt;-0.05,"2 FIX","1 PROTECT"),IF(AND(N282&gt;=300000,OR(P282="new",R282&gt;=0.25),LEFT(L282,1)&lt;&gt;"-"),"3 SCALE","4 MAINTAIN"))</f>
        <v>4 MAINTAIN</v>
      </c>
      <c r="R282" s="14" t="n">
        <f aca="false">IF(M282&lt;1000,0,N282/M282-1)</f>
        <v>-0.380318186348305</v>
      </c>
    </row>
    <row r="283" customFormat="false" ht="15" hidden="false" customHeight="false" outlineLevel="0" collapsed="false">
      <c r="A283" s="25" t="n">
        <f aca="false">ROW()-5</f>
        <v>278</v>
      </c>
      <c r="B283" s="4" t="s">
        <v>751</v>
      </c>
      <c r="C283" s="4" t="s">
        <v>752</v>
      </c>
      <c r="D283" s="4" t="s">
        <v>78</v>
      </c>
      <c r="E283" s="4" t="s">
        <v>154</v>
      </c>
      <c r="F283" s="16" t="n">
        <v>60351.8839285714</v>
      </c>
      <c r="G283" s="14" t="n">
        <f aca="false">IF(SUMIFS(F$6:F$473,D$6:D$473,D283,E$6:E$473,E283)=0,0,F283/SUMIFS(F$6:F$473,D$6:D$473,D283,E$6:E$473,E283))</f>
        <v>0.0016089903881938</v>
      </c>
      <c r="H283" s="5" t="n">
        <f aca="false">SUMIFS(Pareto_Categories!$G$6:$G$84,Pareto_Categories!$B$6:$B$84,D283,Pareto_Categories!$C$6:$C$84,E283)</f>
        <v>120.122971429313</v>
      </c>
      <c r="I283" s="28" t="n">
        <f aca="false">G283*H283</f>
        <v>0.193276706431044</v>
      </c>
      <c r="J283" s="29" t="n">
        <f aca="false">I283/$I$475</f>
        <v>0.000167070185119297</v>
      </c>
      <c r="K283" s="14" t="n">
        <f aca="false">SUM(J$6:J283)</f>
        <v>0.971857780901037</v>
      </c>
      <c r="L283" s="4" t="str">
        <f aca="false">IF(I283&lt;=0,"-",IF(K283-J283&lt;0.8,"A - top 80%",IF(K283-J283&lt;0.95,"B - next 15%","C - tail")))</f>
        <v>C - tail</v>
      </c>
      <c r="M283" s="16" t="n">
        <v>0</v>
      </c>
      <c r="N283" s="16" t="n">
        <v>67275.9910714286</v>
      </c>
      <c r="O283" s="17" t="n">
        <f aca="false">N283-M283</f>
        <v>67275.9910714286</v>
      </c>
      <c r="P283" s="14" t="str">
        <f aca="false">IF(M283&lt;1000,"new",R283)</f>
        <v>new</v>
      </c>
      <c r="Q283" s="4" t="str">
        <f aca="false">IF(LEFT(L283,1)="A",IF(R283&lt;-0.05,"2 FIX","1 PROTECT"),IF(AND(N283&gt;=300000,OR(P283="new",R283&gt;=0.25),LEFT(L283,1)&lt;&gt;"-"),"3 SCALE","4 MAINTAIN"))</f>
        <v>4 MAINTAIN</v>
      </c>
      <c r="R283" s="14" t="n">
        <f aca="false">IF(M283&lt;1000,0,N283/M283-1)</f>
        <v>0</v>
      </c>
    </row>
    <row r="284" customFormat="false" ht="15" hidden="false" customHeight="false" outlineLevel="0" collapsed="false">
      <c r="A284" s="25" t="n">
        <f aca="false">ROW()-5</f>
        <v>279</v>
      </c>
      <c r="B284" s="4" t="s">
        <v>753</v>
      </c>
      <c r="C284" s="4" t="s">
        <v>754</v>
      </c>
      <c r="D284" s="4" t="s">
        <v>78</v>
      </c>
      <c r="E284" s="4" t="s">
        <v>169</v>
      </c>
      <c r="F284" s="16" t="n">
        <v>41577.6785714286</v>
      </c>
      <c r="G284" s="14" t="n">
        <f aca="false">IF(SUMIFS(F$6:F$473,D$6:D$473,D284,E$6:E$473,E284)=0,0,F284/SUMIFS(F$6:F$473,D$6:D$473,D284,E$6:E$473,E284))</f>
        <v>0.0382193886637782</v>
      </c>
      <c r="H284" s="5" t="n">
        <f aca="false">SUMIFS(Pareto_Categories!$G$6:$G$84,Pareto_Categories!$B$6:$B$84,D284,Pareto_Categories!$C$6:$C$84,E284)</f>
        <v>4.89526180272377</v>
      </c>
      <c r="I284" s="28" t="n">
        <f aca="false">G284*H284</f>
        <v>0.187093913449247</v>
      </c>
      <c r="J284" s="29" t="n">
        <f aca="false">I284/$I$475</f>
        <v>0.000161725721282464</v>
      </c>
      <c r="K284" s="14" t="n">
        <f aca="false">SUM(J$6:J284)</f>
        <v>0.972019506622319</v>
      </c>
      <c r="L284" s="4" t="str">
        <f aca="false">IF(I284&lt;=0,"-",IF(K284-J284&lt;0.8,"A - top 80%",IF(K284-J284&lt;0.95,"B - next 15%","C - tail")))</f>
        <v>C - tail</v>
      </c>
      <c r="M284" s="16" t="n">
        <v>53504.4642857143</v>
      </c>
      <c r="N284" s="16" t="n">
        <v>69604.4642857143</v>
      </c>
      <c r="O284" s="17" t="n">
        <f aca="false">N284-M284</f>
        <v>16100</v>
      </c>
      <c r="P284" s="14" t="n">
        <f aca="false">IF(M284&lt;1000,"new",R284)</f>
        <v>0.300909470171047</v>
      </c>
      <c r="Q284" s="4" t="str">
        <f aca="false">IF(LEFT(L284,1)="A",IF(R284&lt;-0.05,"2 FIX","1 PROTECT"),IF(AND(N284&gt;=300000,OR(P284="new",R284&gt;=0.25),LEFT(L284,1)&lt;&gt;"-"),"3 SCALE","4 MAINTAIN"))</f>
        <v>4 MAINTAIN</v>
      </c>
      <c r="R284" s="14" t="n">
        <f aca="false">IF(M284&lt;1000,0,N284/M284-1)</f>
        <v>0.300909470171047</v>
      </c>
    </row>
    <row r="285" customFormat="false" ht="15" hidden="false" customHeight="false" outlineLevel="0" collapsed="false">
      <c r="A285" s="25" t="n">
        <f aca="false">ROW()-5</f>
        <v>280</v>
      </c>
      <c r="B285" s="4" t="s">
        <v>755</v>
      </c>
      <c r="C285" s="4" t="s">
        <v>756</v>
      </c>
      <c r="D285" s="4" t="s">
        <v>78</v>
      </c>
      <c r="E285" s="4" t="s">
        <v>172</v>
      </c>
      <c r="F285" s="16" t="n">
        <v>26512.5</v>
      </c>
      <c r="G285" s="14" t="n">
        <f aca="false">IF(SUMIFS(F$6:F$473,D$6:D$473,D285,E$6:E$473,E285)=0,0,F285/SUMIFS(F$6:F$473,D$6:D$473,D285,E$6:E$473,E285))</f>
        <v>0.516148096645229</v>
      </c>
      <c r="H285" s="5" t="n">
        <f aca="false">SUMIFS(Pareto_Categories!$G$6:$G$84,Pareto_Categories!$B$6:$B$84,D285,Pareto_Categories!$C$6:$C$84,E285)</f>
        <v>0.351587082537299</v>
      </c>
      <c r="I285" s="28" t="n">
        <f aca="false">G285*H285</f>
        <v>0.181471003456676</v>
      </c>
      <c r="J285" s="29" t="n">
        <f aca="false">I285/$I$475</f>
        <v>0.00015686522551598</v>
      </c>
      <c r="K285" s="14" t="n">
        <f aca="false">SUM(J$6:J285)</f>
        <v>0.972176371847835</v>
      </c>
      <c r="L285" s="4" t="str">
        <f aca="false">IF(I285&lt;=0,"-",IF(K285-J285&lt;0.8,"A - top 80%",IF(K285-J285&lt;0.95,"B - next 15%","C - tail")))</f>
        <v>C - tail</v>
      </c>
      <c r="M285" s="16" t="n">
        <v>0</v>
      </c>
      <c r="N285" s="16" t="n">
        <v>26512.5</v>
      </c>
      <c r="O285" s="17" t="n">
        <f aca="false">N285-M285</f>
        <v>26512.5</v>
      </c>
      <c r="P285" s="14" t="str">
        <f aca="false">IF(M285&lt;1000,"new",R285)</f>
        <v>new</v>
      </c>
      <c r="Q285" s="4" t="str">
        <f aca="false">IF(LEFT(L285,1)="A",IF(R285&lt;-0.05,"2 FIX","1 PROTECT"),IF(AND(N285&gt;=300000,OR(P285="new",R285&gt;=0.25),LEFT(L285,1)&lt;&gt;"-"),"3 SCALE","4 MAINTAIN"))</f>
        <v>4 MAINTAIN</v>
      </c>
      <c r="R285" s="14" t="n">
        <f aca="false">IF(M285&lt;1000,0,N285/M285-1)</f>
        <v>0</v>
      </c>
    </row>
    <row r="286" customFormat="false" ht="15" hidden="false" customHeight="false" outlineLevel="0" collapsed="false">
      <c r="A286" s="25" t="n">
        <f aca="false">ROW()-5</f>
        <v>281</v>
      </c>
      <c r="B286" s="4" t="s">
        <v>757</v>
      </c>
      <c r="C286" s="4" t="s">
        <v>758</v>
      </c>
      <c r="D286" s="4" t="s">
        <v>78</v>
      </c>
      <c r="E286" s="4" t="s">
        <v>170</v>
      </c>
      <c r="F286" s="16" t="n">
        <v>61138.3928571429</v>
      </c>
      <c r="G286" s="14" t="n">
        <f aca="false">IF(SUMIFS(F$6:F$473,D$6:D$473,D286,E$6:E$473,E286)=0,0,F286/SUMIFS(F$6:F$473,D$6:D$473,D286,E$6:E$473,E286))</f>
        <v>0.0804507894769028</v>
      </c>
      <c r="H286" s="5" t="n">
        <f aca="false">SUMIFS(Pareto_Categories!$G$6:$G$84,Pareto_Categories!$B$6:$B$84,D286,Pareto_Categories!$C$6:$C$84,E286)</f>
        <v>2.21636597325937</v>
      </c>
      <c r="I286" s="28" t="n">
        <f aca="false">G286*H286</f>
        <v>0.17830839231846</v>
      </c>
      <c r="J286" s="29" t="n">
        <f aca="false">I286/$I$475</f>
        <v>0.000154131434993165</v>
      </c>
      <c r="K286" s="14" t="n">
        <f aca="false">SUM(J$6:J286)</f>
        <v>0.972330503282828</v>
      </c>
      <c r="L286" s="4" t="str">
        <f aca="false">IF(I286&lt;=0,"-",IF(K286-J286&lt;0.8,"A - top 80%",IF(K286-J286&lt;0.95,"B - next 15%","C - tail")))</f>
        <v>C - tail</v>
      </c>
      <c r="M286" s="16" t="n">
        <v>126956.25</v>
      </c>
      <c r="N286" s="16" t="n">
        <v>125125</v>
      </c>
      <c r="O286" s="17" t="n">
        <f aca="false">N286-M286</f>
        <v>-1831.25</v>
      </c>
      <c r="P286" s="14" t="n">
        <f aca="false">IF(M286&lt;1000,"new",R286)</f>
        <v>-0.0144242603258997</v>
      </c>
      <c r="Q286" s="4" t="str">
        <f aca="false">IF(LEFT(L286,1)="A",IF(R286&lt;-0.05,"2 FIX","1 PROTECT"),IF(AND(N286&gt;=300000,OR(P286="new",R286&gt;=0.25),LEFT(L286,1)&lt;&gt;"-"),"3 SCALE","4 MAINTAIN"))</f>
        <v>4 MAINTAIN</v>
      </c>
      <c r="R286" s="14" t="n">
        <f aca="false">IF(M286&lt;1000,0,N286/M286-1)</f>
        <v>-0.0144242603258997</v>
      </c>
    </row>
    <row r="287" customFormat="false" ht="15" hidden="false" customHeight="false" outlineLevel="0" collapsed="false">
      <c r="A287" s="25" t="n">
        <f aca="false">ROW()-5</f>
        <v>282</v>
      </c>
      <c r="B287" s="4" t="s">
        <v>759</v>
      </c>
      <c r="C287" s="4" t="s">
        <v>760</v>
      </c>
      <c r="D287" s="4" t="s">
        <v>78</v>
      </c>
      <c r="E287" s="4" t="s">
        <v>168</v>
      </c>
      <c r="F287" s="16" t="n">
        <v>149298.214285714</v>
      </c>
      <c r="G287" s="14" t="n">
        <f aca="false">IF(SUMIFS(F$6:F$473,D$6:D$473,D287,E$6:E$473,E287)=0,0,F287/SUMIFS(F$6:F$473,D$6:D$473,D287,E$6:E$473,E287))</f>
        <v>0.0520447536949833</v>
      </c>
      <c r="H287" s="5" t="n">
        <f aca="false">SUMIFS(Pareto_Categories!$G$6:$G$84,Pareto_Categories!$B$6:$B$84,D287,Pareto_Categories!$C$6:$C$84,E287)</f>
        <v>3.36869951360875</v>
      </c>
      <c r="I287" s="28" t="n">
        <f aca="false">G287*H287</f>
        <v>0.175323136458177</v>
      </c>
      <c r="J287" s="29" t="n">
        <f aca="false">I287/$I$475</f>
        <v>0.000151550952024392</v>
      </c>
      <c r="K287" s="14" t="n">
        <f aca="false">SUM(J$6:J287)</f>
        <v>0.972482054234853</v>
      </c>
      <c r="L287" s="4" t="str">
        <f aca="false">IF(I287&lt;=0,"-",IF(K287-J287&lt;0.8,"A - top 80%",IF(K287-J287&lt;0.95,"B - next 15%","C - tail")))</f>
        <v>C - tail</v>
      </c>
      <c r="M287" s="16" t="n">
        <v>0</v>
      </c>
      <c r="N287" s="16" t="n">
        <v>149298.214285714</v>
      </c>
      <c r="O287" s="17" t="n">
        <f aca="false">N287-M287</f>
        <v>149298.214285714</v>
      </c>
      <c r="P287" s="14" t="str">
        <f aca="false">IF(M287&lt;1000,"new",R287)</f>
        <v>new</v>
      </c>
      <c r="Q287" s="4" t="str">
        <f aca="false">IF(LEFT(L287,1)="A",IF(R287&lt;-0.05,"2 FIX","1 PROTECT"),IF(AND(N287&gt;=300000,OR(P287="new",R287&gt;=0.25),LEFT(L287,1)&lt;&gt;"-"),"3 SCALE","4 MAINTAIN"))</f>
        <v>4 MAINTAIN</v>
      </c>
      <c r="R287" s="14" t="n">
        <f aca="false">IF(M287&lt;1000,0,N287/M287-1)</f>
        <v>0</v>
      </c>
    </row>
    <row r="288" customFormat="false" ht="15" hidden="false" customHeight="false" outlineLevel="0" collapsed="false">
      <c r="A288" s="25" t="n">
        <f aca="false">ROW()-5</f>
        <v>283</v>
      </c>
      <c r="B288" s="4" t="s">
        <v>761</v>
      </c>
      <c r="C288" s="4" t="s">
        <v>762</v>
      </c>
      <c r="D288" s="4" t="s">
        <v>78</v>
      </c>
      <c r="E288" s="4" t="s">
        <v>172</v>
      </c>
      <c r="F288" s="16" t="n">
        <v>24853.5714285714</v>
      </c>
      <c r="G288" s="14" t="n">
        <f aca="false">IF(SUMIFS(F$6:F$473,D$6:D$473,D288,E$6:E$473,E288)=0,0,F288/SUMIFS(F$6:F$473,D$6:D$473,D288,E$6:E$473,E288))</f>
        <v>0.483851903354771</v>
      </c>
      <c r="H288" s="5" t="n">
        <f aca="false">SUMIFS(Pareto_Categories!$G$6:$G$84,Pareto_Categories!$B$6:$B$84,D288,Pareto_Categories!$C$6:$C$84,E288)</f>
        <v>0.351587082537299</v>
      </c>
      <c r="I288" s="28" t="n">
        <f aca="false">G288*H288</f>
        <v>0.170116079080623</v>
      </c>
      <c r="J288" s="29" t="n">
        <f aca="false">I288/$I$475</f>
        <v>0.000147049923131367</v>
      </c>
      <c r="K288" s="14" t="n">
        <f aca="false">SUM(J$6:J288)</f>
        <v>0.972629104157984</v>
      </c>
      <c r="L288" s="4" t="str">
        <f aca="false">IF(I288&lt;=0,"-",IF(K288-J288&lt;0.8,"A - top 80%",IF(K288-J288&lt;0.95,"B - next 15%","C - tail")))</f>
        <v>C - tail</v>
      </c>
      <c r="M288" s="16" t="n">
        <v>0</v>
      </c>
      <c r="N288" s="16" t="n">
        <v>24853.5714285714</v>
      </c>
      <c r="O288" s="17" t="n">
        <f aca="false">N288-M288</f>
        <v>24853.5714285714</v>
      </c>
      <c r="P288" s="14" t="str">
        <f aca="false">IF(M288&lt;1000,"new",R288)</f>
        <v>new</v>
      </c>
      <c r="Q288" s="4" t="str">
        <f aca="false">IF(LEFT(L288,1)="A",IF(R288&lt;-0.05,"2 FIX","1 PROTECT"),IF(AND(N288&gt;=300000,OR(P288="new",R288&gt;=0.25),LEFT(L288,1)&lt;&gt;"-"),"3 SCALE","4 MAINTAIN"))</f>
        <v>4 MAINTAIN</v>
      </c>
      <c r="R288" s="14" t="n">
        <f aca="false">IF(M288&lt;1000,0,N288/M288-1)</f>
        <v>0</v>
      </c>
    </row>
    <row r="289" customFormat="false" ht="15" hidden="false" customHeight="false" outlineLevel="0" collapsed="false">
      <c r="A289" s="25" t="n">
        <f aca="false">ROW()-5</f>
        <v>284</v>
      </c>
      <c r="B289" s="4" t="s">
        <v>763</v>
      </c>
      <c r="C289" s="4" t="s">
        <v>764</v>
      </c>
      <c r="D289" s="4" t="s">
        <v>78</v>
      </c>
      <c r="E289" s="4" t="s">
        <v>156</v>
      </c>
      <c r="F289" s="16" t="n">
        <v>59317.8571428571</v>
      </c>
      <c r="G289" s="14" t="n">
        <f aca="false">IF(SUMIFS(F$6:F$473,D$6:D$473,D289,E$6:E$473,E289)=0,0,F289/SUMIFS(F$6:F$473,D$6:D$473,D289,E$6:E$473,E289))</f>
        <v>0.00329373513362786</v>
      </c>
      <c r="H289" s="5" t="n">
        <f aca="false">SUMIFS(Pareto_Categories!$G$6:$G$84,Pareto_Categories!$B$6:$B$84,D289,Pareto_Categories!$C$6:$C$84,E289)</f>
        <v>51.0983233945647</v>
      </c>
      <c r="I289" s="28" t="n">
        <f aca="false">G289*H289</f>
        <v>0.168304343034156</v>
      </c>
      <c r="J289" s="29" t="n">
        <f aca="false">I289/$I$475</f>
        <v>0.000145483841619219</v>
      </c>
      <c r="K289" s="14" t="n">
        <f aca="false">SUM(J$6:J289)</f>
        <v>0.972774587999603</v>
      </c>
      <c r="L289" s="4" t="str">
        <f aca="false">IF(I289&lt;=0,"-",IF(K289-J289&lt;0.8,"A - top 80%",IF(K289-J289&lt;0.95,"B - next 15%","C - tail")))</f>
        <v>C - tail</v>
      </c>
      <c r="M289" s="16" t="n">
        <v>250105.357142857</v>
      </c>
      <c r="N289" s="16" t="n">
        <v>165260.714285714</v>
      </c>
      <c r="O289" s="17" t="n">
        <f aca="false">N289-M289</f>
        <v>-84844.6428571428</v>
      </c>
      <c r="P289" s="14" t="n">
        <f aca="false">IF(M289&lt;1000,"new",R289)</f>
        <v>-0.339235607850977</v>
      </c>
      <c r="Q289" s="4" t="str">
        <f aca="false">IF(LEFT(L289,1)="A",IF(R289&lt;-0.05,"2 FIX","1 PROTECT"),IF(AND(N289&gt;=300000,OR(P289="new",R289&gt;=0.25),LEFT(L289,1)&lt;&gt;"-"),"3 SCALE","4 MAINTAIN"))</f>
        <v>4 MAINTAIN</v>
      </c>
      <c r="R289" s="14" t="n">
        <f aca="false">IF(M289&lt;1000,0,N289/M289-1)</f>
        <v>-0.339235607850977</v>
      </c>
    </row>
    <row r="290" customFormat="false" ht="15" hidden="false" customHeight="false" outlineLevel="0" collapsed="false">
      <c r="A290" s="25" t="n">
        <f aca="false">ROW()-5</f>
        <v>285</v>
      </c>
      <c r="B290" s="4" t="s">
        <v>765</v>
      </c>
      <c r="C290" s="4" t="s">
        <v>766</v>
      </c>
      <c r="D290" s="4" t="s">
        <v>83</v>
      </c>
      <c r="E290" s="4" t="s">
        <v>156</v>
      </c>
      <c r="F290" s="16" t="n">
        <v>5458.92857142857</v>
      </c>
      <c r="G290" s="14" t="n">
        <f aca="false">IF(SUMIFS(F$6:F$473,D$6:D$473,D290,E$6:E$473,E290)=0,0,F290/SUMIFS(F$6:F$473,D$6:D$473,D290,E$6:E$473,E290))</f>
        <v>0.164828943466422</v>
      </c>
      <c r="H290" s="5" t="n">
        <f aca="false">SUMIFS(Pareto_Categories!$G$6:$G$84,Pareto_Categories!$B$6:$B$84,D290,Pareto_Categories!$C$6:$C$84,E290)</f>
        <v>1.00612895078728</v>
      </c>
      <c r="I290" s="28" t="n">
        <f aca="false">G290*H290</f>
        <v>0.165839171949247</v>
      </c>
      <c r="J290" s="29" t="n">
        <f aca="false">I290/$I$475</f>
        <v>0.000143352924774082</v>
      </c>
      <c r="K290" s="14" t="n">
        <f aca="false">SUM(J$6:J290)</f>
        <v>0.972917940924377</v>
      </c>
      <c r="L290" s="4" t="str">
        <f aca="false">IF(I290&lt;=0,"-",IF(K290-J290&lt;0.8,"A - top 80%",IF(K290-J290&lt;0.95,"B - next 15%","C - tail")))</f>
        <v>C - tail</v>
      </c>
      <c r="M290" s="16" t="n">
        <v>7278.57142857143</v>
      </c>
      <c r="N290" s="16" t="n">
        <v>7278.57142857143</v>
      </c>
      <c r="O290" s="17" t="n">
        <f aca="false">N290-M290</f>
        <v>0</v>
      </c>
      <c r="P290" s="14" t="n">
        <f aca="false">IF(M290&lt;1000,"new",R290)</f>
        <v>0</v>
      </c>
      <c r="Q290" s="4" t="str">
        <f aca="false">IF(LEFT(L290,1)="A",IF(R290&lt;-0.05,"2 FIX","1 PROTECT"),IF(AND(N290&gt;=300000,OR(P290="new",R290&gt;=0.25),LEFT(L290,1)&lt;&gt;"-"),"3 SCALE","4 MAINTAIN"))</f>
        <v>4 MAINTAIN</v>
      </c>
      <c r="R290" s="14" t="n">
        <f aca="false">IF(M290&lt;1000,0,N290/M290-1)</f>
        <v>0</v>
      </c>
    </row>
    <row r="291" customFormat="false" ht="15" hidden="false" customHeight="false" outlineLevel="0" collapsed="false">
      <c r="A291" s="25" t="n">
        <f aca="false">ROW()-5</f>
        <v>286</v>
      </c>
      <c r="B291" s="4" t="s">
        <v>767</v>
      </c>
      <c r="C291" s="4" t="s">
        <v>768</v>
      </c>
      <c r="D291" s="4" t="s">
        <v>78</v>
      </c>
      <c r="E291" s="4" t="s">
        <v>154</v>
      </c>
      <c r="F291" s="16" t="n">
        <v>51636.6071428571</v>
      </c>
      <c r="G291" s="14" t="n">
        <f aca="false">IF(SUMIFS(F$6:F$473,D$6:D$473,D291,E$6:E$473,E291)=0,0,F291/SUMIFS(F$6:F$473,D$6:D$473,D291,E$6:E$473,E291))</f>
        <v>0.00137663978592827</v>
      </c>
      <c r="H291" s="5" t="n">
        <f aca="false">SUMIFS(Pareto_Categories!$G$6:$G$84,Pareto_Categories!$B$6:$B$84,D291,Pareto_Categories!$C$6:$C$84,E291)</f>
        <v>120.122971429313</v>
      </c>
      <c r="I291" s="28" t="n">
        <f aca="false">G291*H291</f>
        <v>0.165366061673518</v>
      </c>
      <c r="J291" s="29" t="n">
        <f aca="false">I291/$I$475</f>
        <v>0.000142943963845435</v>
      </c>
      <c r="K291" s="14" t="n">
        <f aca="false">SUM(J$6:J291)</f>
        <v>0.973060884888223</v>
      </c>
      <c r="L291" s="4" t="str">
        <f aca="false">IF(I291&lt;=0,"-",IF(K291-J291&lt;0.8,"A - top 80%",IF(K291-J291&lt;0.95,"B - next 15%","C - tail")))</f>
        <v>C - tail</v>
      </c>
      <c r="M291" s="16" t="n">
        <v>225079.017857143</v>
      </c>
      <c r="N291" s="16" t="n">
        <v>92699.1071428571</v>
      </c>
      <c r="O291" s="17" t="n">
        <f aca="false">N291-M291</f>
        <v>-132379.910714286</v>
      </c>
      <c r="P291" s="14" t="n">
        <f aca="false">IF(M291&lt;1000,"new",R291)</f>
        <v>-0.588148606540957</v>
      </c>
      <c r="Q291" s="4" t="str">
        <f aca="false">IF(LEFT(L291,1)="A",IF(R291&lt;-0.05,"2 FIX","1 PROTECT"),IF(AND(N291&gt;=300000,OR(P291="new",R291&gt;=0.25),LEFT(L291,1)&lt;&gt;"-"),"3 SCALE","4 MAINTAIN"))</f>
        <v>4 MAINTAIN</v>
      </c>
      <c r="R291" s="14" t="n">
        <f aca="false">IF(M291&lt;1000,0,N291/M291-1)</f>
        <v>-0.588148606540957</v>
      </c>
    </row>
    <row r="292" customFormat="false" ht="15" hidden="false" customHeight="false" outlineLevel="0" collapsed="false">
      <c r="A292" s="25" t="n">
        <f aca="false">ROW()-5</f>
        <v>287</v>
      </c>
      <c r="B292" s="4" t="s">
        <v>769</v>
      </c>
      <c r="C292" s="4" t="s">
        <v>770</v>
      </c>
      <c r="D292" s="4" t="s">
        <v>78</v>
      </c>
      <c r="E292" s="4" t="s">
        <v>154</v>
      </c>
      <c r="F292" s="16" t="n">
        <v>51370.5357142857</v>
      </c>
      <c r="G292" s="14" t="n">
        <f aca="false">IF(SUMIFS(F$6:F$473,D$6:D$473,D292,E$6:E$473,E292)=0,0,F292/SUMIFS(F$6:F$473,D$6:D$473,D292,E$6:E$473,E292))</f>
        <v>0.00136954628124744</v>
      </c>
      <c r="H292" s="5" t="n">
        <f aca="false">SUMIFS(Pareto_Categories!$G$6:$G$84,Pareto_Categories!$B$6:$B$84,D292,Pareto_Categories!$C$6:$C$84,E292)</f>
        <v>120.122971429313</v>
      </c>
      <c r="I292" s="28" t="n">
        <f aca="false">G292*H292</f>
        <v>0.164513968813408</v>
      </c>
      <c r="J292" s="29" t="n">
        <f aca="false">I292/$I$475</f>
        <v>0.000142207406841199</v>
      </c>
      <c r="K292" s="14" t="n">
        <f aca="false">SUM(J$6:J292)</f>
        <v>0.973203092295064</v>
      </c>
      <c r="L292" s="4" t="str">
        <f aca="false">IF(I292&lt;=0,"-",IF(K292-J292&lt;0.8,"A - top 80%",IF(K292-J292&lt;0.95,"B - next 15%","C - tail")))</f>
        <v>C - tail</v>
      </c>
      <c r="M292" s="16" t="n">
        <v>522772.258928571</v>
      </c>
      <c r="N292" s="16" t="n">
        <v>298612.5</v>
      </c>
      <c r="O292" s="17" t="n">
        <f aca="false">N292-M292</f>
        <v>-224159.758928571</v>
      </c>
      <c r="P292" s="14" t="n">
        <f aca="false">IF(M292&lt;1000,"new",R292)</f>
        <v>-0.428790462959893</v>
      </c>
      <c r="Q292" s="4" t="str">
        <f aca="false">IF(LEFT(L292,1)="A",IF(R292&lt;-0.05,"2 FIX","1 PROTECT"),IF(AND(N292&gt;=300000,OR(P292="new",R292&gt;=0.25),LEFT(L292,1)&lt;&gt;"-"),"3 SCALE","4 MAINTAIN"))</f>
        <v>4 MAINTAIN</v>
      </c>
      <c r="R292" s="14" t="n">
        <f aca="false">IF(M292&lt;1000,0,N292/M292-1)</f>
        <v>-0.428790462959893</v>
      </c>
    </row>
    <row r="293" customFormat="false" ht="15" hidden="false" customHeight="false" outlineLevel="0" collapsed="false">
      <c r="A293" s="25" t="n">
        <f aca="false">ROW()-5</f>
        <v>288</v>
      </c>
      <c r="B293" s="4" t="s">
        <v>771</v>
      </c>
      <c r="C293" s="4" t="s">
        <v>772</v>
      </c>
      <c r="D293" s="4" t="s">
        <v>78</v>
      </c>
      <c r="E293" s="4" t="s">
        <v>170</v>
      </c>
      <c r="F293" s="16" t="n">
        <v>53598.2142857143</v>
      </c>
      <c r="G293" s="14" t="n">
        <f aca="false">IF(SUMIFS(F$6:F$473,D$6:D$473,D293,E$6:E$473,E293)=0,0,F293/SUMIFS(F$6:F$473,D$6:D$473,D293,E$6:E$473,E293))</f>
        <v>0.0705288191646364</v>
      </c>
      <c r="H293" s="5" t="n">
        <f aca="false">SUMIFS(Pareto_Categories!$G$6:$G$84,Pareto_Categories!$B$6:$B$84,D293,Pareto_Categories!$C$6:$C$84,E293)</f>
        <v>2.21636597325937</v>
      </c>
      <c r="I293" s="28" t="n">
        <f aca="false">G293*H293</f>
        <v>0.156317674930663</v>
      </c>
      <c r="J293" s="29" t="n">
        <f aca="false">I293/$I$475</f>
        <v>0.000135122454072869</v>
      </c>
      <c r="K293" s="14" t="n">
        <f aca="false">SUM(J$6:J293)</f>
        <v>0.973338214749137</v>
      </c>
      <c r="L293" s="4" t="str">
        <f aca="false">IF(I293&lt;=0,"-",IF(K293-J293&lt;0.8,"A - top 80%",IF(K293-J293&lt;0.95,"B - next 15%","C - tail")))</f>
        <v>C - tail</v>
      </c>
      <c r="M293" s="16" t="n">
        <v>87310.7142857143</v>
      </c>
      <c r="N293" s="16" t="n">
        <v>107584.821428571</v>
      </c>
      <c r="O293" s="17" t="n">
        <f aca="false">N293-M293</f>
        <v>20274.1071428571</v>
      </c>
      <c r="P293" s="14" t="n">
        <f aca="false">IF(M293&lt;1000,"new",R293)</f>
        <v>0.23220640569395</v>
      </c>
      <c r="Q293" s="4" t="str">
        <f aca="false">IF(LEFT(L293,1)="A",IF(R293&lt;-0.05,"2 FIX","1 PROTECT"),IF(AND(N293&gt;=300000,OR(P293="new",R293&gt;=0.25),LEFT(L293,1)&lt;&gt;"-"),"3 SCALE","4 MAINTAIN"))</f>
        <v>4 MAINTAIN</v>
      </c>
      <c r="R293" s="14" t="n">
        <f aca="false">IF(M293&lt;1000,0,N293/M293-1)</f>
        <v>0.23220640569395</v>
      </c>
    </row>
    <row r="294" customFormat="false" ht="15" hidden="false" customHeight="false" outlineLevel="0" collapsed="false">
      <c r="A294" s="25" t="n">
        <f aca="false">ROW()-5</f>
        <v>289</v>
      </c>
      <c r="B294" s="4" t="s">
        <v>773</v>
      </c>
      <c r="C294" s="4" t="s">
        <v>774</v>
      </c>
      <c r="D294" s="4" t="s">
        <v>78</v>
      </c>
      <c r="E294" s="4" t="s">
        <v>171</v>
      </c>
      <c r="F294" s="16" t="n">
        <v>50892.8571428571</v>
      </c>
      <c r="G294" s="14" t="n">
        <f aca="false">IF(SUMIFS(F$6:F$473,D$6:D$473,D294,E$6:E$473,E294)=0,0,F294/SUMIFS(F$6:F$473,D$6:D$473,D294,E$6:E$473,E294))</f>
        <v>0.0827053314381334</v>
      </c>
      <c r="H294" s="5" t="n">
        <f aca="false">SUMIFS(Pareto_Categories!$G$6:$G$84,Pareto_Categories!$B$6:$B$84,D294,Pareto_Categories!$C$6:$C$84,E294)</f>
        <v>1.80666823968793</v>
      </c>
      <c r="I294" s="28" t="n">
        <f aca="false">G294*H294</f>
        <v>0.149421095562139</v>
      </c>
      <c r="J294" s="29" t="n">
        <f aca="false">I294/$I$475</f>
        <v>0.000129160986635507</v>
      </c>
      <c r="K294" s="14" t="n">
        <f aca="false">SUM(J$6:J294)</f>
        <v>0.973467375735773</v>
      </c>
      <c r="L294" s="4" t="str">
        <f aca="false">IF(I294&lt;=0,"-",IF(K294-J294&lt;0.8,"A - top 80%",IF(K294-J294&lt;0.95,"B - next 15%","C - tail")))</f>
        <v>C - tail</v>
      </c>
      <c r="M294" s="16" t="n">
        <v>87075.8928571428</v>
      </c>
      <c r="N294" s="16" t="n">
        <v>108214.285714286</v>
      </c>
      <c r="O294" s="17" t="n">
        <f aca="false">N294-M294</f>
        <v>21138.3928571429</v>
      </c>
      <c r="P294" s="14" t="n">
        <f aca="false">IF(M294&lt;1000,"new",R294)</f>
        <v>0.242758267110997</v>
      </c>
      <c r="Q294" s="4" t="str">
        <f aca="false">IF(LEFT(L294,1)="A",IF(R294&lt;-0.05,"2 FIX","1 PROTECT"),IF(AND(N294&gt;=300000,OR(P294="new",R294&gt;=0.25),LEFT(L294,1)&lt;&gt;"-"),"3 SCALE","4 MAINTAIN"))</f>
        <v>4 MAINTAIN</v>
      </c>
      <c r="R294" s="14" t="n">
        <f aca="false">IF(M294&lt;1000,0,N294/M294-1)</f>
        <v>0.242758267110997</v>
      </c>
    </row>
    <row r="295" customFormat="false" ht="15" hidden="false" customHeight="false" outlineLevel="0" collapsed="false">
      <c r="A295" s="25" t="n">
        <f aca="false">ROW()-5</f>
        <v>290</v>
      </c>
      <c r="B295" s="4" t="s">
        <v>520</v>
      </c>
      <c r="C295" s="4" t="s">
        <v>521</v>
      </c>
      <c r="D295" s="4" t="s">
        <v>83</v>
      </c>
      <c r="E295" s="4" t="s">
        <v>179</v>
      </c>
      <c r="F295" s="16" t="n">
        <v>59378.5714285714</v>
      </c>
      <c r="G295" s="14" t="n">
        <f aca="false">IF(SUMIFS(F$6:F$473,D$6:D$473,D295,E$6:E$473,E295)=0,0,F295/SUMIFS(F$6:F$473,D$6:D$473,D295,E$6:E$473,E295))</f>
        <v>0.0083109336941103</v>
      </c>
      <c r="H295" s="5" t="n">
        <f aca="false">SUMIFS(Pareto_Categories!$G$6:$G$84,Pareto_Categories!$B$6:$B$84,D295,Pareto_Categories!$C$6:$C$84,E295)</f>
        <v>17.1493362305561</v>
      </c>
      <c r="I295" s="28" t="n">
        <f aca="false">G295*H295</f>
        <v>0.142526996310155</v>
      </c>
      <c r="J295" s="29" t="n">
        <f aca="false">I295/$I$475</f>
        <v>0.00012320166303398</v>
      </c>
      <c r="K295" s="14" t="n">
        <f aca="false">SUM(J$6:J295)</f>
        <v>0.973590577398807</v>
      </c>
      <c r="L295" s="4" t="str">
        <f aca="false">IF(I295&lt;=0,"-",IF(K295-J295&lt;0.8,"A - top 80%",IF(K295-J295&lt;0.95,"B - next 15%","C - tail")))</f>
        <v>C - tail</v>
      </c>
      <c r="M295" s="16" t="n">
        <v>277325.892857143</v>
      </c>
      <c r="N295" s="16" t="n">
        <v>135075.892857143</v>
      </c>
      <c r="O295" s="17" t="n">
        <f aca="false">N295-M295</f>
        <v>-142250</v>
      </c>
      <c r="P295" s="14" t="n">
        <f aca="false">IF(M295&lt;1000,"new",R295)</f>
        <v>-0.512934434410264</v>
      </c>
      <c r="Q295" s="4" t="str">
        <f aca="false">IF(LEFT(L295,1)="A",IF(R295&lt;-0.05,"2 FIX","1 PROTECT"),IF(AND(N295&gt;=300000,OR(P295="new",R295&gt;=0.25),LEFT(L295,1)&lt;&gt;"-"),"3 SCALE","4 MAINTAIN"))</f>
        <v>4 MAINTAIN</v>
      </c>
      <c r="R295" s="14" t="n">
        <f aca="false">IF(M295&lt;1000,0,N295/M295-1)</f>
        <v>-0.512934434410264</v>
      </c>
    </row>
    <row r="296" customFormat="false" ht="15" hidden="false" customHeight="false" outlineLevel="0" collapsed="false">
      <c r="A296" s="25" t="n">
        <f aca="false">ROW()-5</f>
        <v>291</v>
      </c>
      <c r="B296" s="4" t="s">
        <v>775</v>
      </c>
      <c r="C296" s="4" t="s">
        <v>776</v>
      </c>
      <c r="D296" s="4" t="s">
        <v>83</v>
      </c>
      <c r="E296" s="4" t="s">
        <v>156</v>
      </c>
      <c r="F296" s="16" t="n">
        <v>4621.42857142857</v>
      </c>
      <c r="G296" s="14" t="n">
        <f aca="false">IF(SUMIFS(F$6:F$473,D$6:D$473,D296,E$6:E$473,E296)=0,0,F296/SUMIFS(F$6:F$473,D$6:D$473,D296,E$6:E$473,E296))</f>
        <v>0.139541153317338</v>
      </c>
      <c r="H296" s="5" t="n">
        <f aca="false">SUMIFS(Pareto_Categories!$G$6:$G$84,Pareto_Categories!$B$6:$B$84,D296,Pareto_Categories!$C$6:$C$84,E296)</f>
        <v>1.00612895078728</v>
      </c>
      <c r="I296" s="28" t="n">
        <f aca="false">G296*H296</f>
        <v>0.140396394178819</v>
      </c>
      <c r="J296" s="29" t="n">
        <f aca="false">I296/$I$475</f>
        <v>0.000121359950708316</v>
      </c>
      <c r="K296" s="14" t="n">
        <f aca="false">SUM(J$6:J296)</f>
        <v>0.973711937349515</v>
      </c>
      <c r="L296" s="4" t="str">
        <f aca="false">IF(I296&lt;=0,"-",IF(K296-J296&lt;0.8,"A - top 80%",IF(K296-J296&lt;0.95,"B - next 15%","C - tail")))</f>
        <v>C - tail</v>
      </c>
      <c r="M296" s="16" t="n">
        <v>11553.5714285714</v>
      </c>
      <c r="N296" s="16" t="n">
        <v>4621.42857142857</v>
      </c>
      <c r="O296" s="17" t="n">
        <f aca="false">N296-M296</f>
        <v>-6932.14285714286</v>
      </c>
      <c r="P296" s="14" t="n">
        <f aca="false">IF(M296&lt;1000,"new",R296)</f>
        <v>-0.6</v>
      </c>
      <c r="Q296" s="4" t="str">
        <f aca="false">IF(LEFT(L296,1)="A",IF(R296&lt;-0.05,"2 FIX","1 PROTECT"),IF(AND(N296&gt;=300000,OR(P296="new",R296&gt;=0.25),LEFT(L296,1)&lt;&gt;"-"),"3 SCALE","4 MAINTAIN"))</f>
        <v>4 MAINTAIN</v>
      </c>
      <c r="R296" s="14" t="n">
        <f aca="false">IF(M296&lt;1000,0,N296/M296-1)</f>
        <v>-0.6</v>
      </c>
    </row>
    <row r="297" customFormat="false" ht="15" hidden="false" customHeight="false" outlineLevel="0" collapsed="false">
      <c r="A297" s="25" t="n">
        <f aca="false">ROW()-5</f>
        <v>292</v>
      </c>
      <c r="B297" s="4" t="s">
        <v>777</v>
      </c>
      <c r="C297" s="4" t="s">
        <v>778</v>
      </c>
      <c r="D297" s="4" t="s">
        <v>78</v>
      </c>
      <c r="E297" s="4" t="s">
        <v>176</v>
      </c>
      <c r="F297" s="16" t="n">
        <v>20892.8571428571</v>
      </c>
      <c r="G297" s="14" t="n">
        <f aca="false">IF(SUMIFS(F$6:F$473,D$6:D$473,D297,E$6:E$473,E297)=0,0,F297/SUMIFS(F$6:F$473,D$6:D$473,D297,E$6:E$473,E297))</f>
        <v>0.548651817116061</v>
      </c>
      <c r="H297" s="5" t="n">
        <f aca="false">SUMIFS(Pareto_Categories!$G$6:$G$84,Pareto_Categories!$B$6:$B$84,D297,Pareto_Categories!$C$6:$C$84,E297)</f>
        <v>0.239028940810729</v>
      </c>
      <c r="I297" s="28" t="n">
        <f aca="false">G297*H297</f>
        <v>0.131143662719134</v>
      </c>
      <c r="J297" s="29" t="n">
        <f aca="false">I297/$I$475</f>
        <v>0.00011336180345936</v>
      </c>
      <c r="K297" s="14" t="n">
        <f aca="false">SUM(J$6:J297)</f>
        <v>0.973825299152974</v>
      </c>
      <c r="L297" s="4" t="str">
        <f aca="false">IF(I297&lt;=0,"-",IF(K297-J297&lt;0.8,"A - top 80%",IF(K297-J297&lt;0.95,"B - next 15%","C - tail")))</f>
        <v>C - tail</v>
      </c>
      <c r="M297" s="16" t="n">
        <v>0</v>
      </c>
      <c r="N297" s="16" t="n">
        <v>20892.8571428571</v>
      </c>
      <c r="O297" s="17" t="n">
        <f aca="false">N297-M297</f>
        <v>20892.8571428571</v>
      </c>
      <c r="P297" s="14" t="str">
        <f aca="false">IF(M297&lt;1000,"new",R297)</f>
        <v>new</v>
      </c>
      <c r="Q297" s="4" t="str">
        <f aca="false">IF(LEFT(L297,1)="A",IF(R297&lt;-0.05,"2 FIX","1 PROTECT"),IF(AND(N297&gt;=300000,OR(P297="new",R297&gt;=0.25),LEFT(L297,1)&lt;&gt;"-"),"3 SCALE","4 MAINTAIN"))</f>
        <v>4 MAINTAIN</v>
      </c>
      <c r="R297" s="14" t="n">
        <f aca="false">IF(M297&lt;1000,0,N297/M297-1)</f>
        <v>0</v>
      </c>
    </row>
    <row r="298" customFormat="false" ht="15" hidden="false" customHeight="false" outlineLevel="0" collapsed="false">
      <c r="A298" s="25" t="n">
        <f aca="false">ROW()-5</f>
        <v>293</v>
      </c>
      <c r="B298" s="4" t="s">
        <v>779</v>
      </c>
      <c r="C298" s="4" t="s">
        <v>780</v>
      </c>
      <c r="D298" s="4" t="s">
        <v>78</v>
      </c>
      <c r="E298" s="4" t="s">
        <v>169</v>
      </c>
      <c r="F298" s="16" t="n">
        <v>28725.8928571429</v>
      </c>
      <c r="G298" s="14" t="n">
        <f aca="false">IF(SUMIFS(F$6:F$473,D$6:D$473,D298,E$6:E$473,E298)=0,0,F298/SUMIFS(F$6:F$473,D$6:D$473,D298,E$6:E$473,E298))</f>
        <v>0.0264056604780153</v>
      </c>
      <c r="H298" s="5" t="n">
        <f aca="false">SUMIFS(Pareto_Categories!$G$6:$G$84,Pareto_Categories!$B$6:$B$84,D298,Pareto_Categories!$C$6:$C$84,E298)</f>
        <v>4.89526180272377</v>
      </c>
      <c r="I298" s="28" t="n">
        <f aca="false">G298*H298</f>
        <v>0.129262621113721</v>
      </c>
      <c r="J298" s="29" t="n">
        <f aca="false">I298/$I$475</f>
        <v>0.000111735813576582</v>
      </c>
      <c r="K298" s="14" t="n">
        <f aca="false">SUM(J$6:J298)</f>
        <v>0.973937034966551</v>
      </c>
      <c r="L298" s="4" t="str">
        <f aca="false">IF(I298&lt;=0,"-",IF(K298-J298&lt;0.8,"A - top 80%",IF(K298-J298&lt;0.95,"B - next 15%","C - tail")))</f>
        <v>C - tail</v>
      </c>
      <c r="M298" s="16" t="n">
        <v>64089.2857142857</v>
      </c>
      <c r="N298" s="16" t="n">
        <v>57633.0357142857</v>
      </c>
      <c r="O298" s="17" t="n">
        <f aca="false">N298-M298</f>
        <v>-6456.25</v>
      </c>
      <c r="P298" s="14" t="n">
        <f aca="false">IF(M298&lt;1000,"new",R298)</f>
        <v>-0.100738367233213</v>
      </c>
      <c r="Q298" s="4" t="str">
        <f aca="false">IF(LEFT(L298,1)="A",IF(R298&lt;-0.05,"2 FIX","1 PROTECT"),IF(AND(N298&gt;=300000,OR(P298="new",R298&gt;=0.25),LEFT(L298,1)&lt;&gt;"-"),"3 SCALE","4 MAINTAIN"))</f>
        <v>4 MAINTAIN</v>
      </c>
      <c r="R298" s="14" t="n">
        <f aca="false">IF(M298&lt;1000,0,N298/M298-1)</f>
        <v>-0.100738367233213</v>
      </c>
    </row>
    <row r="299" customFormat="false" ht="15" hidden="false" customHeight="false" outlineLevel="0" collapsed="false">
      <c r="A299" s="25" t="n">
        <f aca="false">ROW()-5</f>
        <v>294</v>
      </c>
      <c r="B299" s="4" t="s">
        <v>781</v>
      </c>
      <c r="C299" s="4" t="s">
        <v>772</v>
      </c>
      <c r="D299" s="4" t="s">
        <v>78</v>
      </c>
      <c r="E299" s="4" t="s">
        <v>170</v>
      </c>
      <c r="F299" s="16" t="n">
        <v>40781.25</v>
      </c>
      <c r="G299" s="14" t="n">
        <f aca="false">IF(SUMIFS(F$6:F$473,D$6:D$473,D299,E$6:E$473,E299)=0,0,F299/SUMIFS(F$6:F$473,D$6:D$473,D299,E$6:E$473,E299))</f>
        <v>0.0536632319730929</v>
      </c>
      <c r="H299" s="5" t="n">
        <f aca="false">SUMIFS(Pareto_Categories!$G$6:$G$84,Pareto_Categories!$B$6:$B$84,D299,Pareto_Categories!$C$6:$C$84,E299)</f>
        <v>2.21636597325937</v>
      </c>
      <c r="I299" s="28" t="n">
        <f aca="false">G299*H299</f>
        <v>0.118937361360287</v>
      </c>
      <c r="J299" s="29" t="n">
        <f aca="false">I299/$I$475</f>
        <v>0.000102810562881531</v>
      </c>
      <c r="K299" s="14" t="n">
        <f aca="false">SUM(J$6:J299)</f>
        <v>0.974039845529432</v>
      </c>
      <c r="L299" s="4" t="str">
        <f aca="false">IF(I299&lt;=0,"-",IF(K299-J299&lt;0.8,"A - top 80%",IF(K299-J299&lt;0.95,"B - next 15%","C - tail")))</f>
        <v>C - tail</v>
      </c>
      <c r="M299" s="16" t="n">
        <v>67269.6428571428</v>
      </c>
      <c r="N299" s="16" t="n">
        <v>80241.9642857143</v>
      </c>
      <c r="O299" s="17" t="n">
        <f aca="false">N299-M299</f>
        <v>12972.3214285714</v>
      </c>
      <c r="P299" s="14" t="n">
        <f aca="false">IF(M299&lt;1000,"new",R299)</f>
        <v>0.19284064665127</v>
      </c>
      <c r="Q299" s="4" t="str">
        <f aca="false">IF(LEFT(L299,1)="A",IF(R299&lt;-0.05,"2 FIX","1 PROTECT"),IF(AND(N299&gt;=300000,OR(P299="new",R299&gt;=0.25),LEFT(L299,1)&lt;&gt;"-"),"3 SCALE","4 MAINTAIN"))</f>
        <v>4 MAINTAIN</v>
      </c>
      <c r="R299" s="14" t="n">
        <f aca="false">IF(M299&lt;1000,0,N299/M299-1)</f>
        <v>0.19284064665127</v>
      </c>
    </row>
    <row r="300" customFormat="false" ht="15" hidden="false" customHeight="false" outlineLevel="0" collapsed="false">
      <c r="A300" s="25" t="n">
        <f aca="false">ROW()-5</f>
        <v>295</v>
      </c>
      <c r="B300" s="4" t="s">
        <v>782</v>
      </c>
      <c r="C300" s="4" t="s">
        <v>783</v>
      </c>
      <c r="D300" s="4" t="s">
        <v>78</v>
      </c>
      <c r="E300" s="4" t="s">
        <v>170</v>
      </c>
      <c r="F300" s="16" t="n">
        <v>38175</v>
      </c>
      <c r="G300" s="14" t="n">
        <f aca="false">IF(SUMIFS(F$6:F$473,D$6:D$473,D300,E$6:E$473,E300)=0,0,F300/SUMIFS(F$6:F$473,D$6:D$473,D300,E$6:E$473,E300))</f>
        <v>0.0502337196768814</v>
      </c>
      <c r="H300" s="5" t="n">
        <f aca="false">SUMIFS(Pareto_Categories!$G$6:$G$84,Pareto_Categories!$B$6:$B$84,D300,Pareto_Categories!$C$6:$C$84,E300)</f>
        <v>2.21636597325937</v>
      </c>
      <c r="I300" s="28" t="n">
        <f aca="false">G300*H300</f>
        <v>0.11133630700209</v>
      </c>
      <c r="J300" s="29" t="n">
        <f aca="false">I300/$I$475</f>
        <v>9.62401407019754E-005</v>
      </c>
      <c r="K300" s="14" t="n">
        <f aca="false">SUM(J$6:J300)</f>
        <v>0.974136085670134</v>
      </c>
      <c r="L300" s="4" t="str">
        <f aca="false">IF(I300&lt;=0,"-",IF(K300-J300&lt;0.8,"A - top 80%",IF(K300-J300&lt;0.95,"B - next 15%","C - tail")))</f>
        <v>C - tail</v>
      </c>
      <c r="M300" s="16" t="n">
        <v>98400.8928571428</v>
      </c>
      <c r="N300" s="16" t="n">
        <v>84408.0357142857</v>
      </c>
      <c r="O300" s="17" t="n">
        <f aca="false">N300-M300</f>
        <v>-13992.8571428571</v>
      </c>
      <c r="P300" s="14" t="n">
        <f aca="false">IF(M300&lt;1000,"new",R300)</f>
        <v>-0.142202542442087</v>
      </c>
      <c r="Q300" s="4" t="str">
        <f aca="false">IF(LEFT(L300,1)="A",IF(R300&lt;-0.05,"2 FIX","1 PROTECT"),IF(AND(N300&gt;=300000,OR(P300="new",R300&gt;=0.25),LEFT(L300,1)&lt;&gt;"-"),"3 SCALE","4 MAINTAIN"))</f>
        <v>4 MAINTAIN</v>
      </c>
      <c r="R300" s="14" t="n">
        <f aca="false">IF(M300&lt;1000,0,N300/M300-1)</f>
        <v>-0.142202542442087</v>
      </c>
    </row>
    <row r="301" customFormat="false" ht="15" hidden="false" customHeight="false" outlineLevel="0" collapsed="false">
      <c r="A301" s="25" t="n">
        <f aca="false">ROW()-5</f>
        <v>296</v>
      </c>
      <c r="B301" s="4" t="s">
        <v>784</v>
      </c>
      <c r="C301" s="4" t="s">
        <v>785</v>
      </c>
      <c r="D301" s="4" t="s">
        <v>78</v>
      </c>
      <c r="E301" s="4" t="s">
        <v>176</v>
      </c>
      <c r="F301" s="16" t="n">
        <v>17187.5</v>
      </c>
      <c r="G301" s="14" t="n">
        <f aca="false">IF(SUMIFS(F$6:F$473,D$6:D$473,D301,E$6:E$473,E301)=0,0,F301/SUMIFS(F$6:F$473,D$6:D$473,D301,E$6:E$473,E301))</f>
        <v>0.451348182883939</v>
      </c>
      <c r="H301" s="5" t="n">
        <f aca="false">SUMIFS(Pareto_Categories!$G$6:$G$84,Pareto_Categories!$B$6:$B$84,D301,Pareto_Categories!$C$6:$C$84,E301)</f>
        <v>0.239028940810729</v>
      </c>
      <c r="I301" s="28" t="n">
        <f aca="false">G301*H301</f>
        <v>0.107885278091595</v>
      </c>
      <c r="J301" s="29" t="n">
        <f aca="false">I301/$I$475</f>
        <v>9.32570391706273E-005</v>
      </c>
      <c r="K301" s="14" t="n">
        <f aca="false">SUM(J$6:J301)</f>
        <v>0.974229342709305</v>
      </c>
      <c r="L301" s="4" t="str">
        <f aca="false">IF(I301&lt;=0,"-",IF(K301-J301&lt;0.8,"A - top 80%",IF(K301-J301&lt;0.95,"B - next 15%","C - tail")))</f>
        <v>C - tail</v>
      </c>
      <c r="M301" s="16" t="n">
        <v>0</v>
      </c>
      <c r="N301" s="16" t="n">
        <v>17187.5</v>
      </c>
      <c r="O301" s="17" t="n">
        <f aca="false">N301-M301</f>
        <v>17187.5</v>
      </c>
      <c r="P301" s="14" t="str">
        <f aca="false">IF(M301&lt;1000,"new",R301)</f>
        <v>new</v>
      </c>
      <c r="Q301" s="4" t="str">
        <f aca="false">IF(LEFT(L301,1)="A",IF(R301&lt;-0.05,"2 FIX","1 PROTECT"),IF(AND(N301&gt;=300000,OR(P301="new",R301&gt;=0.25),LEFT(L301,1)&lt;&gt;"-"),"3 SCALE","4 MAINTAIN"))</f>
        <v>4 MAINTAIN</v>
      </c>
      <c r="R301" s="14" t="n">
        <f aca="false">IF(M301&lt;1000,0,N301/M301-1)</f>
        <v>0</v>
      </c>
    </row>
    <row r="302" customFormat="false" ht="15" hidden="false" customHeight="false" outlineLevel="0" collapsed="false">
      <c r="A302" s="25" t="n">
        <f aca="false">ROW()-5</f>
        <v>297</v>
      </c>
      <c r="B302" s="4" t="s">
        <v>745</v>
      </c>
      <c r="C302" s="4" t="s">
        <v>746</v>
      </c>
      <c r="D302" s="4" t="s">
        <v>83</v>
      </c>
      <c r="E302" s="4" t="s">
        <v>179</v>
      </c>
      <c r="F302" s="16" t="n">
        <v>44821.4285714286</v>
      </c>
      <c r="G302" s="14" t="n">
        <f aca="false">IF(SUMIFS(F$6:F$473,D$6:D$473,D302,E$6:E$473,E302)=0,0,F302/SUMIFS(F$6:F$473,D$6:D$473,D302,E$6:E$473,E302))</f>
        <v>0.00627344026591389</v>
      </c>
      <c r="H302" s="5" t="n">
        <f aca="false">SUMIFS(Pareto_Categories!$G$6:$G$84,Pareto_Categories!$B$6:$B$84,D302,Pareto_Categories!$C$6:$C$84,E302)</f>
        <v>17.1493362305561</v>
      </c>
      <c r="I302" s="28" t="n">
        <f aca="false">G302*H302</f>
        <v>0.107585336442466</v>
      </c>
      <c r="J302" s="29" t="n">
        <f aca="false">I302/$I$475</f>
        <v>9.29977668156174E-005</v>
      </c>
      <c r="K302" s="14" t="n">
        <f aca="false">SUM(J$6:J302)</f>
        <v>0.97432234047612</v>
      </c>
      <c r="L302" s="4" t="str">
        <f aca="false">IF(I302&lt;=0,"-",IF(K302-J302&lt;0.8,"A - top 80%",IF(K302-J302&lt;0.95,"B - next 15%","C - tail")))</f>
        <v>C - tail</v>
      </c>
      <c r="M302" s="16" t="n">
        <v>91250</v>
      </c>
      <c r="N302" s="16" t="n">
        <v>89665.1785714286</v>
      </c>
      <c r="O302" s="17" t="n">
        <f aca="false">N302-M302</f>
        <v>-1584.82142857145</v>
      </c>
      <c r="P302" s="14" t="n">
        <f aca="false">IF(M302&lt;1000,"new",R302)</f>
        <v>-0.0173679060665364</v>
      </c>
      <c r="Q302" s="4" t="str">
        <f aca="false">IF(LEFT(L302,1)="A",IF(R302&lt;-0.05,"2 FIX","1 PROTECT"),IF(AND(N302&gt;=300000,OR(P302="new",R302&gt;=0.25),LEFT(L302,1)&lt;&gt;"-"),"3 SCALE","4 MAINTAIN"))</f>
        <v>4 MAINTAIN</v>
      </c>
      <c r="R302" s="14" t="n">
        <f aca="false">IF(M302&lt;1000,0,N302/M302-1)</f>
        <v>-0.0173679060665364</v>
      </c>
    </row>
    <row r="303" customFormat="false" ht="15" hidden="false" customHeight="false" outlineLevel="0" collapsed="false">
      <c r="A303" s="25" t="n">
        <f aca="false">ROW()-5</f>
        <v>298</v>
      </c>
      <c r="B303" s="4" t="s">
        <v>786</v>
      </c>
      <c r="C303" s="4" t="s">
        <v>787</v>
      </c>
      <c r="D303" s="4" t="s">
        <v>78</v>
      </c>
      <c r="E303" s="4" t="s">
        <v>169</v>
      </c>
      <c r="F303" s="16" t="n">
        <v>23789.2857142857</v>
      </c>
      <c r="G303" s="14" t="n">
        <f aca="false">IF(SUMIFS(F$6:F$473,D$6:D$473,D303,E$6:E$473,E303)=0,0,F303/SUMIFS(F$6:F$473,D$6:D$473,D303,E$6:E$473,E303))</f>
        <v>0.0218677903141217</v>
      </c>
      <c r="H303" s="5" t="n">
        <f aca="false">SUMIFS(Pareto_Categories!$G$6:$G$84,Pareto_Categories!$B$6:$B$84,D303,Pareto_Categories!$C$6:$C$84,E303)</f>
        <v>4.89526180272377</v>
      </c>
      <c r="I303" s="28" t="n">
        <f aca="false">G303*H303</f>
        <v>0.107048558634693</v>
      </c>
      <c r="J303" s="29" t="n">
        <f aca="false">I303/$I$475</f>
        <v>9.25337710793044E-005</v>
      </c>
      <c r="K303" s="14" t="n">
        <f aca="false">SUM(J$6:J303)</f>
        <v>0.9744148742472</v>
      </c>
      <c r="L303" s="4" t="str">
        <f aca="false">IF(I303&lt;=0,"-",IF(K303-J303&lt;0.8,"A - top 80%",IF(K303-J303&lt;0.95,"B - next 15%","C - tail")))</f>
        <v>C - tail</v>
      </c>
      <c r="M303" s="16" t="n">
        <v>88359.8214285714</v>
      </c>
      <c r="N303" s="16" t="n">
        <v>61549.1071428571</v>
      </c>
      <c r="O303" s="17" t="n">
        <f aca="false">N303-M303</f>
        <v>-26810.7142857143</v>
      </c>
      <c r="P303" s="14" t="n">
        <f aca="false">IF(M303&lt;1000,"new",R303)</f>
        <v>-0.303426533148753</v>
      </c>
      <c r="Q303" s="4" t="str">
        <f aca="false">IF(LEFT(L303,1)="A",IF(R303&lt;-0.05,"2 FIX","1 PROTECT"),IF(AND(N303&gt;=300000,OR(P303="new",R303&gt;=0.25),LEFT(L303,1)&lt;&gt;"-"),"3 SCALE","4 MAINTAIN"))</f>
        <v>4 MAINTAIN</v>
      </c>
      <c r="R303" s="14" t="n">
        <f aca="false">IF(M303&lt;1000,0,N303/M303-1)</f>
        <v>-0.303426533148753</v>
      </c>
    </row>
    <row r="304" customFormat="false" ht="15" hidden="false" customHeight="false" outlineLevel="0" collapsed="false">
      <c r="A304" s="25" t="n">
        <f aca="false">ROW()-5</f>
        <v>299</v>
      </c>
      <c r="B304" s="4" t="s">
        <v>788</v>
      </c>
      <c r="C304" s="4" t="s">
        <v>789</v>
      </c>
      <c r="D304" s="4" t="s">
        <v>78</v>
      </c>
      <c r="E304" s="4" t="s">
        <v>171</v>
      </c>
      <c r="F304" s="16" t="n">
        <v>35066.9642857143</v>
      </c>
      <c r="G304" s="14" t="n">
        <f aca="false">IF(SUMIFS(F$6:F$473,D$6:D$473,D304,E$6:E$473,E304)=0,0,F304/SUMIFS(F$6:F$473,D$6:D$473,D304,E$6:E$473,E304))</f>
        <v>0.0569868753023279</v>
      </c>
      <c r="H304" s="5" t="n">
        <f aca="false">SUMIFS(Pareto_Categories!$G$6:$G$84,Pareto_Categories!$B$6:$B$84,D304,Pareto_Categories!$C$6:$C$84,E304)</f>
        <v>1.80666823968793</v>
      </c>
      <c r="I304" s="28" t="n">
        <f aca="false">G304*H304</f>
        <v>0.102956377687772</v>
      </c>
      <c r="J304" s="29" t="n">
        <f aca="false">I304/$I$475</f>
        <v>8.89964517563077E-005</v>
      </c>
      <c r="K304" s="14" t="n">
        <f aca="false">SUM(J$6:J304)</f>
        <v>0.974503870698956</v>
      </c>
      <c r="L304" s="4" t="str">
        <f aca="false">IF(I304&lt;=0,"-",IF(K304-J304&lt;0.8,"A - top 80%",IF(K304-J304&lt;0.95,"B - next 15%","C - tail")))</f>
        <v>C - tail</v>
      </c>
      <c r="M304" s="16" t="n">
        <v>57611.6071428571</v>
      </c>
      <c r="N304" s="16" t="n">
        <v>77743.1428571428</v>
      </c>
      <c r="O304" s="17" t="n">
        <f aca="false">N304-M304</f>
        <v>20131.5357142857</v>
      </c>
      <c r="P304" s="14" t="n">
        <f aca="false">IF(M304&lt;1000,"new",R304)</f>
        <v>0.349435412630763</v>
      </c>
      <c r="Q304" s="4" t="str">
        <f aca="false">IF(LEFT(L304,1)="A",IF(R304&lt;-0.05,"2 FIX","1 PROTECT"),IF(AND(N304&gt;=300000,OR(P304="new",R304&gt;=0.25),LEFT(L304,1)&lt;&gt;"-"),"3 SCALE","4 MAINTAIN"))</f>
        <v>4 MAINTAIN</v>
      </c>
      <c r="R304" s="14" t="n">
        <f aca="false">IF(M304&lt;1000,0,N304/M304-1)</f>
        <v>0.349435412630763</v>
      </c>
    </row>
    <row r="305" customFormat="false" ht="15" hidden="false" customHeight="false" outlineLevel="0" collapsed="false">
      <c r="A305" s="25" t="n">
        <f aca="false">ROW()-5</f>
        <v>300</v>
      </c>
      <c r="B305" s="4" t="s">
        <v>790</v>
      </c>
      <c r="C305" s="4" t="s">
        <v>791</v>
      </c>
      <c r="D305" s="4" t="s">
        <v>78</v>
      </c>
      <c r="E305" s="4" t="s">
        <v>169</v>
      </c>
      <c r="F305" s="16" t="n">
        <v>20182.1428571429</v>
      </c>
      <c r="G305" s="14" t="n">
        <f aca="false">IF(SUMIFS(F$6:F$473,D$6:D$473,D305,E$6:E$473,E305)=0,0,F305/SUMIFS(F$6:F$473,D$6:D$473,D305,E$6:E$473,E305))</f>
        <v>0.0185520016611773</v>
      </c>
      <c r="H305" s="5" t="n">
        <f aca="false">SUMIFS(Pareto_Categories!$G$6:$G$84,Pareto_Categories!$B$6:$B$84,D305,Pareto_Categories!$C$6:$C$84,E305)</f>
        <v>4.89526180272377</v>
      </c>
      <c r="I305" s="28" t="n">
        <f aca="false">G305*H305</f>
        <v>0.0908169050960291</v>
      </c>
      <c r="J305" s="29" t="n">
        <f aca="false">I305/$I$475</f>
        <v>7.85029785871715E-005</v>
      </c>
      <c r="K305" s="14" t="n">
        <f aca="false">SUM(J$6:J305)</f>
        <v>0.974582373677543</v>
      </c>
      <c r="L305" s="4" t="str">
        <f aca="false">IF(I305&lt;=0,"-",IF(K305-J305&lt;0.8,"A - top 80%",IF(K305-J305&lt;0.95,"B - next 15%","C - tail")))</f>
        <v>C - tail</v>
      </c>
      <c r="M305" s="16" t="n">
        <v>3060.71428571429</v>
      </c>
      <c r="N305" s="16" t="n">
        <v>39575</v>
      </c>
      <c r="O305" s="17" t="n">
        <f aca="false">N305-M305</f>
        <v>36514.2857142857</v>
      </c>
      <c r="P305" s="14" t="n">
        <f aca="false">IF(M305&lt;1000,"new",R305)</f>
        <v>11.9299883313886</v>
      </c>
      <c r="Q305" s="4" t="str">
        <f aca="false">IF(LEFT(L305,1)="A",IF(R305&lt;-0.05,"2 FIX","1 PROTECT"),IF(AND(N305&gt;=300000,OR(P305="new",R305&gt;=0.25),LEFT(L305,1)&lt;&gt;"-"),"3 SCALE","4 MAINTAIN"))</f>
        <v>4 MAINTAIN</v>
      </c>
      <c r="R305" s="14" t="n">
        <f aca="false">IF(M305&lt;1000,0,N305/M305-1)</f>
        <v>11.9299883313886</v>
      </c>
    </row>
    <row r="306" customFormat="false" ht="15" hidden="false" customHeight="false" outlineLevel="0" collapsed="false">
      <c r="A306" s="25" t="n">
        <f aca="false">ROW()-5</f>
        <v>301</v>
      </c>
      <c r="B306" s="4" t="s">
        <v>792</v>
      </c>
      <c r="C306" s="4" t="s">
        <v>793</v>
      </c>
      <c r="D306" s="4" t="s">
        <v>78</v>
      </c>
      <c r="E306" s="4" t="s">
        <v>171</v>
      </c>
      <c r="F306" s="16" t="n">
        <v>29491.0714285714</v>
      </c>
      <c r="G306" s="14" t="n">
        <f aca="false">IF(SUMIFS(F$6:F$473,D$6:D$473,D306,E$6:E$473,E306)=0,0,F306/SUMIFS(F$6:F$473,D$6:D$473,D306,E$6:E$473,E306))</f>
        <v>0.0479255631123078</v>
      </c>
      <c r="H306" s="5" t="n">
        <f aca="false">SUMIFS(Pareto_Categories!$G$6:$G$84,Pareto_Categories!$B$6:$B$84,D306,Pareto_Categories!$C$6:$C$84,E306)</f>
        <v>1.80666823968793</v>
      </c>
      <c r="I306" s="28" t="n">
        <f aca="false">G306*H306</f>
        <v>0.0865855927441661</v>
      </c>
      <c r="J306" s="29" t="n">
        <f aca="false">I306/$I$475</f>
        <v>7.48453927819438E-005</v>
      </c>
      <c r="K306" s="14" t="n">
        <f aca="false">SUM(J$6:J306)</f>
        <v>0.974657219070325</v>
      </c>
      <c r="L306" s="4" t="str">
        <f aca="false">IF(I306&lt;=0,"-",IF(K306-J306&lt;0.8,"A - top 80%",IF(K306-J306&lt;0.95,"B - next 15%","C - tail")))</f>
        <v>C - tail</v>
      </c>
      <c r="M306" s="16" t="n">
        <v>60293.2053571429</v>
      </c>
      <c r="N306" s="16" t="n">
        <v>62718.75</v>
      </c>
      <c r="O306" s="17" t="n">
        <f aca="false">N306-M306</f>
        <v>2425.54464285713</v>
      </c>
      <c r="P306" s="14" t="n">
        <f aca="false">IF(M306&lt;1000,"new",R306)</f>
        <v>0.0402291539898994</v>
      </c>
      <c r="Q306" s="4" t="str">
        <f aca="false">IF(LEFT(L306,1)="A",IF(R306&lt;-0.05,"2 FIX","1 PROTECT"),IF(AND(N306&gt;=300000,OR(P306="new",R306&gt;=0.25),LEFT(L306,1)&lt;&gt;"-"),"3 SCALE","4 MAINTAIN"))</f>
        <v>4 MAINTAIN</v>
      </c>
      <c r="R306" s="14" t="n">
        <f aca="false">IF(M306&lt;1000,0,N306/M306-1)</f>
        <v>0.0402291539898994</v>
      </c>
    </row>
    <row r="307" customFormat="false" ht="15" hidden="false" customHeight="false" outlineLevel="0" collapsed="false">
      <c r="A307" s="25" t="n">
        <f aca="false">ROW()-5</f>
        <v>302</v>
      </c>
      <c r="B307" s="4" t="s">
        <v>794</v>
      </c>
      <c r="C307" s="4" t="s">
        <v>682</v>
      </c>
      <c r="D307" s="4" t="s">
        <v>78</v>
      </c>
      <c r="E307" s="4" t="s">
        <v>170</v>
      </c>
      <c r="F307" s="16" t="n">
        <v>29551.7857142857</v>
      </c>
      <c r="G307" s="14" t="n">
        <f aca="false">IF(SUMIFS(F$6:F$473,D$6:D$473,D307,E$6:E$473,E307)=0,0,F307/SUMIFS(F$6:F$473,D$6:D$473,D307,E$6:E$473,E307))</f>
        <v>0.0388866043096974</v>
      </c>
      <c r="H307" s="5" t="n">
        <f aca="false">SUMIFS(Pareto_Categories!$G$6:$G$84,Pareto_Categories!$B$6:$B$84,D307,Pareto_Categories!$C$6:$C$84,E307)</f>
        <v>2.21636597325937</v>
      </c>
      <c r="I307" s="28" t="n">
        <f aca="false">G307*H307</f>
        <v>0.0861869466076144</v>
      </c>
      <c r="J307" s="29" t="n">
        <f aca="false">I307/$I$475</f>
        <v>7.45007993487225E-005</v>
      </c>
      <c r="K307" s="14" t="n">
        <f aca="false">SUM(J$6:J307)</f>
        <v>0.974731719869674</v>
      </c>
      <c r="L307" s="4" t="str">
        <f aca="false">IF(I307&lt;=0,"-",IF(K307-J307&lt;0.8,"A - top 80%",IF(K307-J307&lt;0.95,"B - next 15%","C - tail")))</f>
        <v>C - tail</v>
      </c>
      <c r="M307" s="16" t="n">
        <v>60120.5357142857</v>
      </c>
      <c r="N307" s="16" t="n">
        <v>60180.3571428571</v>
      </c>
      <c r="O307" s="17" t="n">
        <f aca="false">N307-M307</f>
        <v>59.8214285714203</v>
      </c>
      <c r="P307" s="14" t="n">
        <f aca="false">IF(M307&lt;1000,"new",R307)</f>
        <v>0.000995024875621642</v>
      </c>
      <c r="Q307" s="4" t="str">
        <f aca="false">IF(LEFT(L307,1)="A",IF(R307&lt;-0.05,"2 FIX","1 PROTECT"),IF(AND(N307&gt;=300000,OR(P307="new",R307&gt;=0.25),LEFT(L307,1)&lt;&gt;"-"),"3 SCALE","4 MAINTAIN"))</f>
        <v>4 MAINTAIN</v>
      </c>
      <c r="R307" s="14" t="n">
        <f aca="false">IF(M307&lt;1000,0,N307/M307-1)</f>
        <v>0.000995024875621642</v>
      </c>
    </row>
    <row r="308" customFormat="false" ht="15" hidden="false" customHeight="false" outlineLevel="0" collapsed="false">
      <c r="A308" s="25" t="n">
        <f aca="false">ROW()-5</f>
        <v>303</v>
      </c>
      <c r="B308" s="4" t="s">
        <v>795</v>
      </c>
      <c r="C308" s="4" t="s">
        <v>796</v>
      </c>
      <c r="D308" s="4" t="s">
        <v>78</v>
      </c>
      <c r="E308" s="4" t="s">
        <v>169</v>
      </c>
      <c r="F308" s="16" t="n">
        <v>18609.8214285714</v>
      </c>
      <c r="G308" s="14" t="n">
        <f aca="false">IF(SUMIFS(F$6:F$473,D$6:D$473,D308,E$6:E$473,E308)=0,0,F308/SUMIFS(F$6:F$473,D$6:D$473,D308,E$6:E$473,E308))</f>
        <v>0.0171066789339904</v>
      </c>
      <c r="H308" s="5" t="n">
        <f aca="false">SUMIFS(Pareto_Categories!$G$6:$G$84,Pareto_Categories!$B$6:$B$84,D308,Pareto_Categories!$C$6:$C$84,E308)</f>
        <v>4.89526180272377</v>
      </c>
      <c r="I308" s="28" t="n">
        <f aca="false">G308*H308</f>
        <v>0.0837416719570224</v>
      </c>
      <c r="J308" s="29" t="n">
        <f aca="false">I308/$I$475</f>
        <v>7.23870811667145E-005</v>
      </c>
      <c r="K308" s="14" t="n">
        <f aca="false">SUM(J$6:J308)</f>
        <v>0.974804106950841</v>
      </c>
      <c r="L308" s="4" t="str">
        <f aca="false">IF(I308&lt;=0,"-",IF(K308-J308&lt;0.8,"A - top 80%",IF(K308-J308&lt;0.95,"B - next 15%","C - tail")))</f>
        <v>C - tail</v>
      </c>
      <c r="M308" s="16" t="n">
        <v>9953.57142857143</v>
      </c>
      <c r="N308" s="16" t="n">
        <v>45421.4285714286</v>
      </c>
      <c r="O308" s="17" t="n">
        <f aca="false">N308-M308</f>
        <v>35467.8571428571</v>
      </c>
      <c r="P308" s="14" t="n">
        <f aca="false">IF(M308&lt;1000,"new",R308)</f>
        <v>3.56332974524578</v>
      </c>
      <c r="Q308" s="4" t="str">
        <f aca="false">IF(LEFT(L308,1)="A",IF(R308&lt;-0.05,"2 FIX","1 PROTECT"),IF(AND(N308&gt;=300000,OR(P308="new",R308&gt;=0.25),LEFT(L308,1)&lt;&gt;"-"),"3 SCALE","4 MAINTAIN"))</f>
        <v>4 MAINTAIN</v>
      </c>
      <c r="R308" s="14" t="n">
        <f aca="false">IF(M308&lt;1000,0,N308/M308-1)</f>
        <v>3.56332974524578</v>
      </c>
    </row>
    <row r="309" customFormat="false" ht="15" hidden="false" customHeight="false" outlineLevel="0" collapsed="false">
      <c r="A309" s="25" t="n">
        <f aca="false">ROW()-5</f>
        <v>304</v>
      </c>
      <c r="B309" s="4" t="s">
        <v>797</v>
      </c>
      <c r="C309" s="4" t="s">
        <v>798</v>
      </c>
      <c r="D309" s="4" t="s">
        <v>78</v>
      </c>
      <c r="E309" s="4" t="s">
        <v>169</v>
      </c>
      <c r="F309" s="16" t="n">
        <v>18591.0714285714</v>
      </c>
      <c r="G309" s="14" t="n">
        <f aca="false">IF(SUMIFS(F$6:F$473,D$6:D$473,D309,E$6:E$473,E309)=0,0,F309/SUMIFS(F$6:F$473,D$6:D$473,D309,E$6:E$473,E309))</f>
        <v>0.0170894433989132</v>
      </c>
      <c r="H309" s="5" t="n">
        <f aca="false">SUMIFS(Pareto_Categories!$G$6:$G$84,Pareto_Categories!$B$6:$B$84,D309,Pareto_Categories!$C$6:$C$84,E309)</f>
        <v>4.89526180272377</v>
      </c>
      <c r="I309" s="28" t="n">
        <f aca="false">G309*H309</f>
        <v>0.0836572995005096</v>
      </c>
      <c r="J309" s="29" t="n">
        <f aca="false">I309/$I$475</f>
        <v>7.23141488295029E-005</v>
      </c>
      <c r="K309" s="14" t="n">
        <f aca="false">SUM(J$6:J309)</f>
        <v>0.97487642109967</v>
      </c>
      <c r="L309" s="4" t="str">
        <f aca="false">IF(I309&lt;=0,"-",IF(K309-J309&lt;0.8,"A - top 80%",IF(K309-J309&lt;0.95,"B - next 15%","C - tail")))</f>
        <v>C - tail</v>
      </c>
      <c r="M309" s="16" t="n">
        <v>62016.9642857143</v>
      </c>
      <c r="N309" s="16" t="n">
        <v>38069.6428571429</v>
      </c>
      <c r="O309" s="17" t="n">
        <f aca="false">N309-M309</f>
        <v>-23947.3214285714</v>
      </c>
      <c r="P309" s="14" t="n">
        <f aca="false">IF(M309&lt;1000,"new",R309)</f>
        <v>-0.386141464748988</v>
      </c>
      <c r="Q309" s="4" t="str">
        <f aca="false">IF(LEFT(L309,1)="A",IF(R309&lt;-0.05,"2 FIX","1 PROTECT"),IF(AND(N309&gt;=300000,OR(P309="new",R309&gt;=0.25),LEFT(L309,1)&lt;&gt;"-"),"3 SCALE","4 MAINTAIN"))</f>
        <v>4 MAINTAIN</v>
      </c>
      <c r="R309" s="14" t="n">
        <f aca="false">IF(M309&lt;1000,0,N309/M309-1)</f>
        <v>-0.386141464748988</v>
      </c>
    </row>
    <row r="310" customFormat="false" ht="15" hidden="false" customHeight="false" outlineLevel="0" collapsed="false">
      <c r="A310" s="25" t="n">
        <f aca="false">ROW()-5</f>
        <v>305</v>
      </c>
      <c r="B310" s="4" t="s">
        <v>799</v>
      </c>
      <c r="C310" s="4" t="s">
        <v>800</v>
      </c>
      <c r="D310" s="4" t="s">
        <v>78</v>
      </c>
      <c r="E310" s="4" t="s">
        <v>153</v>
      </c>
      <c r="F310" s="16" t="n">
        <v>18337.5</v>
      </c>
      <c r="G310" s="14" t="n">
        <f aca="false">IF(SUMIFS(F$6:F$473,D$6:D$473,D310,E$6:E$473,E310)=0,0,F310/SUMIFS(F$6:F$473,D$6:D$473,D310,E$6:E$473,E310))</f>
        <v>0.000543110441526531</v>
      </c>
      <c r="H310" s="5" t="n">
        <f aca="false">SUMIFS(Pareto_Categories!$G$6:$G$84,Pareto_Categories!$B$6:$B$84,D310,Pareto_Categories!$C$6:$C$84,E310)</f>
        <v>152.006736079647</v>
      </c>
      <c r="I310" s="28" t="n">
        <f aca="false">G310*H310</f>
        <v>0.0825564455472238</v>
      </c>
      <c r="J310" s="29" t="n">
        <f aca="false">I310/$I$475</f>
        <v>7.13625604194925E-005</v>
      </c>
      <c r="K310" s="14" t="n">
        <f aca="false">SUM(J$6:J310)</f>
        <v>0.97494778366009</v>
      </c>
      <c r="L310" s="4" t="str">
        <f aca="false">IF(I310&lt;=0,"-",IF(K310-J310&lt;0.8,"A - top 80%",IF(K310-J310&lt;0.95,"B - next 15%","C - tail")))</f>
        <v>C - tail</v>
      </c>
      <c r="M310" s="16" t="n">
        <v>0</v>
      </c>
      <c r="N310" s="16" t="n">
        <v>18337.5</v>
      </c>
      <c r="O310" s="17" t="n">
        <f aca="false">N310-M310</f>
        <v>18337.5</v>
      </c>
      <c r="P310" s="14" t="str">
        <f aca="false">IF(M310&lt;1000,"new",R310)</f>
        <v>new</v>
      </c>
      <c r="Q310" s="4" t="str">
        <f aca="false">IF(LEFT(L310,1)="A",IF(R310&lt;-0.05,"2 FIX","1 PROTECT"),IF(AND(N310&gt;=300000,OR(P310="new",R310&gt;=0.25),LEFT(L310,1)&lt;&gt;"-"),"3 SCALE","4 MAINTAIN"))</f>
        <v>4 MAINTAIN</v>
      </c>
      <c r="R310" s="14" t="n">
        <f aca="false">IF(M310&lt;1000,0,N310/M310-1)</f>
        <v>0</v>
      </c>
    </row>
    <row r="311" customFormat="false" ht="15" hidden="false" customHeight="false" outlineLevel="0" collapsed="false">
      <c r="A311" s="25" t="n">
        <f aca="false">ROW()-5</f>
        <v>306</v>
      </c>
      <c r="B311" s="4" t="s">
        <v>801</v>
      </c>
      <c r="C311" s="4" t="s">
        <v>802</v>
      </c>
      <c r="D311" s="4" t="s">
        <v>78</v>
      </c>
      <c r="E311" s="4" t="s">
        <v>169</v>
      </c>
      <c r="F311" s="16" t="n">
        <v>17904.4642857143</v>
      </c>
      <c r="G311" s="14" t="n">
        <f aca="false">IF(SUMIFS(F$6:F$473,D$6:D$473,D311,E$6:E$473,E311)=0,0,F311/SUMIFS(F$6:F$473,D$6:D$473,D311,E$6:E$473,E311))</f>
        <v>0.0164582945191819</v>
      </c>
      <c r="H311" s="5" t="n">
        <f aca="false">SUMIFS(Pareto_Categories!$G$6:$G$84,Pareto_Categories!$B$6:$B$84,D311,Pareto_Categories!$C$6:$C$84,E311)</f>
        <v>4.89526180272377</v>
      </c>
      <c r="I311" s="28" t="n">
        <f aca="false">G311*H311</f>
        <v>0.0805676604977292</v>
      </c>
      <c r="J311" s="29" t="n">
        <f aca="false">I311/$I$475</f>
        <v>6.96434361001835E-005</v>
      </c>
      <c r="K311" s="14" t="n">
        <f aca="false">SUM(J$6:J311)</f>
        <v>0.97501742709619</v>
      </c>
      <c r="L311" s="4" t="str">
        <f aca="false">IF(I311&lt;=0,"-",IF(K311-J311&lt;0.8,"A - top 80%",IF(K311-J311&lt;0.95,"B - next 15%","C - tail")))</f>
        <v>C - tail</v>
      </c>
      <c r="M311" s="16" t="n">
        <v>32590.1785714286</v>
      </c>
      <c r="N311" s="16" t="n">
        <v>35098.2142857143</v>
      </c>
      <c r="O311" s="17" t="n">
        <f aca="false">N311-M311</f>
        <v>2508.03571428571</v>
      </c>
      <c r="P311" s="14" t="n">
        <f aca="false">IF(M311&lt;1000,"new",R311)</f>
        <v>0.0769567957042272</v>
      </c>
      <c r="Q311" s="4" t="str">
        <f aca="false">IF(LEFT(L311,1)="A",IF(R311&lt;-0.05,"2 FIX","1 PROTECT"),IF(AND(N311&gt;=300000,OR(P311="new",R311&gt;=0.25),LEFT(L311,1)&lt;&gt;"-"),"3 SCALE","4 MAINTAIN"))</f>
        <v>4 MAINTAIN</v>
      </c>
      <c r="R311" s="14" t="n">
        <f aca="false">IF(M311&lt;1000,0,N311/M311-1)</f>
        <v>0.0769567957042272</v>
      </c>
    </row>
    <row r="312" customFormat="false" ht="15" hidden="false" customHeight="false" outlineLevel="0" collapsed="false">
      <c r="A312" s="25" t="n">
        <f aca="false">ROW()-5</f>
        <v>307</v>
      </c>
      <c r="B312" s="4" t="s">
        <v>803</v>
      </c>
      <c r="C312" s="4" t="s">
        <v>804</v>
      </c>
      <c r="D312" s="4" t="s">
        <v>83</v>
      </c>
      <c r="E312" s="4" t="s">
        <v>156</v>
      </c>
      <c r="F312" s="16" t="n">
        <v>2648.21428571429</v>
      </c>
      <c r="G312" s="14" t="n">
        <f aca="false">IF(SUMIFS(F$6:F$473,D$6:D$473,D312,E$6:E$473,E312)=0,0,F312/SUMIFS(F$6:F$473,D$6:D$473,D312,E$6:E$473,E312))</f>
        <v>0.0799611786590462</v>
      </c>
      <c r="H312" s="5" t="n">
        <f aca="false">SUMIFS(Pareto_Categories!$G$6:$G$84,Pareto_Categories!$B$6:$B$84,D312,Pareto_Categories!$C$6:$C$84,E312)</f>
        <v>1.00612895078728</v>
      </c>
      <c r="I312" s="28" t="n">
        <f aca="false">G312*H312</f>
        <v>0.0804512567879401</v>
      </c>
      <c r="J312" s="29" t="n">
        <f aca="false">I312/$I$475</f>
        <v>6.95428156493173E-005</v>
      </c>
      <c r="K312" s="14" t="n">
        <f aca="false">SUM(J$6:J312)</f>
        <v>0.975086969911839</v>
      </c>
      <c r="L312" s="4" t="str">
        <f aca="false">IF(I312&lt;=0,"-",IF(K312-J312&lt;0.8,"A - top 80%",IF(K312-J312&lt;0.95,"B - next 15%","C - tail")))</f>
        <v>C - tail</v>
      </c>
      <c r="M312" s="16" t="n">
        <v>7944.64285714286</v>
      </c>
      <c r="N312" s="16" t="n">
        <v>7944.64285714286</v>
      </c>
      <c r="O312" s="17" t="n">
        <f aca="false">N312-M312</f>
        <v>0</v>
      </c>
      <c r="P312" s="14" t="n">
        <f aca="false">IF(M312&lt;1000,"new",R312)</f>
        <v>0</v>
      </c>
      <c r="Q312" s="4" t="str">
        <f aca="false">IF(LEFT(L312,1)="A",IF(R312&lt;-0.05,"2 FIX","1 PROTECT"),IF(AND(N312&gt;=300000,OR(P312="new",R312&gt;=0.25),LEFT(L312,1)&lt;&gt;"-"),"3 SCALE","4 MAINTAIN"))</f>
        <v>4 MAINTAIN</v>
      </c>
      <c r="R312" s="14" t="n">
        <f aca="false">IF(M312&lt;1000,0,N312/M312-1)</f>
        <v>0</v>
      </c>
    </row>
    <row r="313" customFormat="false" ht="15" hidden="false" customHeight="false" outlineLevel="0" collapsed="false">
      <c r="A313" s="25" t="n">
        <f aca="false">ROW()-5</f>
        <v>308</v>
      </c>
      <c r="B313" s="4" t="s">
        <v>805</v>
      </c>
      <c r="C313" s="4" t="s">
        <v>806</v>
      </c>
      <c r="D313" s="4" t="s">
        <v>83</v>
      </c>
      <c r="E313" s="4" t="s">
        <v>226</v>
      </c>
      <c r="F313" s="16" t="n">
        <v>16060.7142857143</v>
      </c>
      <c r="G313" s="14" t="n">
        <f aca="false">IF(SUMIFS(F$6:F$473,D$6:D$473,D313,E$6:E$473,E313)=0,0,F313/SUMIFS(F$6:F$473,D$6:D$473,D313,E$6:E$473,E313))</f>
        <v>0.111436005451617</v>
      </c>
      <c r="H313" s="5" t="n">
        <f aca="false">SUMIFS(Pareto_Categories!$G$6:$G$84,Pareto_Categories!$B$6:$B$84,D313,Pareto_Categories!$C$6:$C$84,E313)</f>
        <v>0.702899355173986</v>
      </c>
      <c r="I313" s="28" t="n">
        <f aca="false">G313*H313</f>
        <v>0.0783282963751063</v>
      </c>
      <c r="J313" s="29" t="n">
        <f aca="false">I313/$I$475</f>
        <v>6.77077088962972E-005</v>
      </c>
      <c r="K313" s="14" t="n">
        <f aca="false">SUM(J$6:J313)</f>
        <v>0.975154677620735</v>
      </c>
      <c r="L313" s="4" t="str">
        <f aca="false">IF(I313&lt;=0,"-",IF(K313-J313&lt;0.8,"A - top 80%",IF(K313-J313&lt;0.95,"B - next 15%","C - tail")))</f>
        <v>C - tail</v>
      </c>
      <c r="M313" s="16" t="n">
        <v>21248.2142857143</v>
      </c>
      <c r="N313" s="16" t="n">
        <v>24141.9642857143</v>
      </c>
      <c r="O313" s="17" t="n">
        <f aca="false">N313-M313</f>
        <v>2893.75</v>
      </c>
      <c r="P313" s="14" t="n">
        <f aca="false">IF(M313&lt;1000,"new",R313)</f>
        <v>0.136187914950836</v>
      </c>
      <c r="Q313" s="4" t="str">
        <f aca="false">IF(LEFT(L313,1)="A",IF(R313&lt;-0.05,"2 FIX","1 PROTECT"),IF(AND(N313&gt;=300000,OR(P313="new",R313&gt;=0.25),LEFT(L313,1)&lt;&gt;"-"),"3 SCALE","4 MAINTAIN"))</f>
        <v>4 MAINTAIN</v>
      </c>
      <c r="R313" s="14" t="n">
        <f aca="false">IF(M313&lt;1000,0,N313/M313-1)</f>
        <v>0.136187914950836</v>
      </c>
    </row>
    <row r="314" customFormat="false" ht="15" hidden="false" customHeight="false" outlineLevel="0" collapsed="false">
      <c r="A314" s="25" t="n">
        <f aca="false">ROW()-5</f>
        <v>309</v>
      </c>
      <c r="B314" s="4" t="s">
        <v>807</v>
      </c>
      <c r="C314" s="4" t="s">
        <v>646</v>
      </c>
      <c r="D314" s="4" t="s">
        <v>78</v>
      </c>
      <c r="E314" s="4" t="s">
        <v>161</v>
      </c>
      <c r="F314" s="16" t="n">
        <v>20644.6428571429</v>
      </c>
      <c r="G314" s="14" t="n">
        <f aca="false">IF(SUMIFS(F$6:F$473,D$6:D$473,D314,E$6:E$473,E314)=0,0,F314/SUMIFS(F$6:F$473,D$6:D$473,D314,E$6:E$473,E314))</f>
        <v>0.0030783986305059</v>
      </c>
      <c r="H314" s="5" t="n">
        <f aca="false">SUMIFS(Pareto_Categories!$G$6:$G$84,Pareto_Categories!$B$6:$B$84,D314,Pareto_Categories!$C$6:$C$84,E314)</f>
        <v>23.2065327013405</v>
      </c>
      <c r="I314" s="28" t="n">
        <f aca="false">G314*H314</f>
        <v>0.0714389584865969</v>
      </c>
      <c r="J314" s="29" t="n">
        <f aca="false">I314/$I$475</f>
        <v>6.17525010617033E-005</v>
      </c>
      <c r="K314" s="14" t="n">
        <f aca="false">SUM(J$6:J314)</f>
        <v>0.975216430121797</v>
      </c>
      <c r="L314" s="4" t="str">
        <f aca="false">IF(I314&lt;=0,"-",IF(K314-J314&lt;0.8,"A - top 80%",IF(K314-J314&lt;0.95,"B - next 15%","C - tail")))</f>
        <v>C - tail</v>
      </c>
      <c r="M314" s="16" t="n">
        <v>143682.142857143</v>
      </c>
      <c r="N314" s="16" t="n">
        <v>95173.2142857143</v>
      </c>
      <c r="O314" s="17" t="n">
        <f aca="false">N314-M314</f>
        <v>-48508.9285714285</v>
      </c>
      <c r="P314" s="14" t="n">
        <f aca="false">IF(M314&lt;1000,"new",R314)</f>
        <v>-0.337612786159926</v>
      </c>
      <c r="Q314" s="4" t="str">
        <f aca="false">IF(LEFT(L314,1)="A",IF(R314&lt;-0.05,"2 FIX","1 PROTECT"),IF(AND(N314&gt;=300000,OR(P314="new",R314&gt;=0.25),LEFT(L314,1)&lt;&gt;"-"),"3 SCALE","4 MAINTAIN"))</f>
        <v>4 MAINTAIN</v>
      </c>
      <c r="R314" s="14" t="n">
        <f aca="false">IF(M314&lt;1000,0,N314/M314-1)</f>
        <v>-0.337612786159926</v>
      </c>
    </row>
    <row r="315" customFormat="false" ht="15" hidden="false" customHeight="false" outlineLevel="0" collapsed="false">
      <c r="A315" s="25" t="n">
        <f aca="false">ROW()-5</f>
        <v>310</v>
      </c>
      <c r="B315" s="4" t="s">
        <v>808</v>
      </c>
      <c r="C315" s="4" t="s">
        <v>809</v>
      </c>
      <c r="D315" s="4" t="s">
        <v>78</v>
      </c>
      <c r="E315" s="4" t="s">
        <v>169</v>
      </c>
      <c r="F315" s="16" t="n">
        <v>14900.8928571429</v>
      </c>
      <c r="G315" s="14" t="n">
        <f aca="false">IF(SUMIFS(F$6:F$473,D$6:D$473,D315,E$6:E$473,E315)=0,0,F315/SUMIFS(F$6:F$473,D$6:D$473,D315,E$6:E$473,E315))</f>
        <v>0.0136973259477698</v>
      </c>
      <c r="H315" s="5" t="n">
        <f aca="false">SUMIFS(Pareto_Categories!$G$6:$G$84,Pareto_Categories!$B$6:$B$84,D315,Pareto_Categories!$C$6:$C$84,E315)</f>
        <v>4.89526180272377</v>
      </c>
      <c r="I315" s="28" t="n">
        <f aca="false">G315*H315</f>
        <v>0.0670519965115745</v>
      </c>
      <c r="J315" s="29" t="n">
        <f aca="false">I315/$I$475</f>
        <v>5.79603702725759E-005</v>
      </c>
      <c r="K315" s="14" t="n">
        <f aca="false">SUM(J$6:J315)</f>
        <v>0.97527439049207</v>
      </c>
      <c r="L315" s="4" t="str">
        <f aca="false">IF(I315&lt;=0,"-",IF(K315-J315&lt;0.8,"A - top 80%",IF(K315-J315&lt;0.95,"B - next 15%","C - tail")))</f>
        <v>C - tail</v>
      </c>
      <c r="M315" s="16" t="n">
        <v>31328.5714285714</v>
      </c>
      <c r="N315" s="16" t="n">
        <v>28326.7857142857</v>
      </c>
      <c r="O315" s="17" t="n">
        <f aca="false">N315-M315</f>
        <v>-3001.78571428572</v>
      </c>
      <c r="P315" s="14" t="n">
        <f aca="false">IF(M315&lt;1000,"new",R315)</f>
        <v>-0.0958162334701325</v>
      </c>
      <c r="Q315" s="4" t="str">
        <f aca="false">IF(LEFT(L315,1)="A",IF(R315&lt;-0.05,"2 FIX","1 PROTECT"),IF(AND(N315&gt;=300000,OR(P315="new",R315&gt;=0.25),LEFT(L315,1)&lt;&gt;"-"),"3 SCALE","4 MAINTAIN"))</f>
        <v>4 MAINTAIN</v>
      </c>
      <c r="R315" s="14" t="n">
        <f aca="false">IF(M315&lt;1000,0,N315/M315-1)</f>
        <v>-0.0958162334701325</v>
      </c>
    </row>
    <row r="316" customFormat="false" ht="15" hidden="false" customHeight="false" outlineLevel="0" collapsed="false">
      <c r="A316" s="25" t="n">
        <f aca="false">ROW()-5</f>
        <v>311</v>
      </c>
      <c r="B316" s="4" t="s">
        <v>810</v>
      </c>
      <c r="C316" s="4" t="s">
        <v>578</v>
      </c>
      <c r="D316" s="4" t="s">
        <v>78</v>
      </c>
      <c r="E316" s="4" t="s">
        <v>154</v>
      </c>
      <c r="F316" s="16" t="n">
        <v>20586.6071428571</v>
      </c>
      <c r="G316" s="14" t="n">
        <f aca="false">IF(SUMIFS(F$6:F$473,D$6:D$473,D316,E$6:E$473,E316)=0,0,F316/SUMIFS(F$6:F$473,D$6:D$473,D316,E$6:E$473,E316))</f>
        <v>0.000548842071899231</v>
      </c>
      <c r="H316" s="5" t="n">
        <f aca="false">SUMIFS(Pareto_Categories!$G$6:$G$84,Pareto_Categories!$B$6:$B$84,D316,Pareto_Categories!$C$6:$C$84,E316)</f>
        <v>120.122971429313</v>
      </c>
      <c r="I316" s="28" t="n">
        <f aca="false">G316*H316</f>
        <v>0.0659285405219564</v>
      </c>
      <c r="J316" s="29" t="n">
        <f aca="false">I316/$I$475</f>
        <v>5.69892444518559E-005</v>
      </c>
      <c r="K316" s="14" t="n">
        <f aca="false">SUM(J$6:J316)</f>
        <v>0.975331379736522</v>
      </c>
      <c r="L316" s="4" t="str">
        <f aca="false">IF(I316&lt;=0,"-",IF(K316-J316&lt;0.8,"A - top 80%",IF(K316-J316&lt;0.95,"B - next 15%","C - tail")))</f>
        <v>C - tail</v>
      </c>
      <c r="M316" s="16" t="n">
        <v>266951.785714286</v>
      </c>
      <c r="N316" s="16" t="n">
        <v>54893.75</v>
      </c>
      <c r="O316" s="17" t="n">
        <f aca="false">N316-M316</f>
        <v>-212058.035714286</v>
      </c>
      <c r="P316" s="14" t="n">
        <f aca="false">IF(M316&lt;1000,"new",R316)</f>
        <v>-0.794368298181186</v>
      </c>
      <c r="Q316" s="4" t="str">
        <f aca="false">IF(LEFT(L316,1)="A",IF(R316&lt;-0.05,"2 FIX","1 PROTECT"),IF(AND(N316&gt;=300000,OR(P316="new",R316&gt;=0.25),LEFT(L316,1)&lt;&gt;"-"),"3 SCALE","4 MAINTAIN"))</f>
        <v>4 MAINTAIN</v>
      </c>
      <c r="R316" s="14" t="n">
        <f aca="false">IF(M316&lt;1000,0,N316/M316-1)</f>
        <v>-0.794368298181186</v>
      </c>
    </row>
    <row r="317" customFormat="false" ht="15" hidden="false" customHeight="false" outlineLevel="0" collapsed="false">
      <c r="A317" s="25" t="n">
        <f aca="false">ROW()-5</f>
        <v>312</v>
      </c>
      <c r="B317" s="4" t="s">
        <v>599</v>
      </c>
      <c r="C317" s="4" t="s">
        <v>600</v>
      </c>
      <c r="D317" s="4" t="s">
        <v>83</v>
      </c>
      <c r="E317" s="4" t="s">
        <v>229</v>
      </c>
      <c r="F317" s="16" t="n">
        <v>16294.6428571429</v>
      </c>
      <c r="G317" s="14" t="n">
        <f aca="false">IF(SUMIFS(F$6:F$473,D$6:D$473,D317,E$6:E$473,E317)=0,0,F317/SUMIFS(F$6:F$473,D$6:D$473,D317,E$6:E$473,E317))</f>
        <v>1</v>
      </c>
      <c r="H317" s="5" t="n">
        <f aca="false">SUMIFS(Pareto_Categories!$G$6:$G$84,Pareto_Categories!$B$6:$B$84,D317,Pareto_Categories!$C$6:$C$84,E317)</f>
        <v>0.0631288583716107</v>
      </c>
      <c r="I317" s="28" t="n">
        <f aca="false">G317*H317</f>
        <v>0.0631288583716107</v>
      </c>
      <c r="J317" s="29" t="n">
        <f aca="false">I317/$I$475</f>
        <v>5.45691731262908E-005</v>
      </c>
      <c r="K317" s="14" t="n">
        <f aca="false">SUM(J$6:J317)</f>
        <v>0.975385948909648</v>
      </c>
      <c r="L317" s="4" t="str">
        <f aca="false">IF(I317&lt;=0,"-",IF(K317-J317&lt;0.8,"A - top 80%",IF(K317-J317&lt;0.95,"B - next 15%","C - tail")))</f>
        <v>C - tail</v>
      </c>
      <c r="M317" s="16" t="n">
        <v>31428.5714285714</v>
      </c>
      <c r="N317" s="16" t="n">
        <v>20312.5</v>
      </c>
      <c r="O317" s="17" t="n">
        <f aca="false">N317-M317</f>
        <v>-11116.0714285714</v>
      </c>
      <c r="P317" s="14" t="n">
        <f aca="false">IF(M317&lt;1000,"new",R317)</f>
        <v>-0.353693181818182</v>
      </c>
      <c r="Q317" s="4" t="str">
        <f aca="false">IF(LEFT(L317,1)="A",IF(R317&lt;-0.05,"2 FIX","1 PROTECT"),IF(AND(N317&gt;=300000,OR(P317="new",R317&gt;=0.25),LEFT(L317,1)&lt;&gt;"-"),"3 SCALE","4 MAINTAIN"))</f>
        <v>4 MAINTAIN</v>
      </c>
      <c r="R317" s="14" t="n">
        <f aca="false">IF(M317&lt;1000,0,N317/M317-1)</f>
        <v>-0.353693181818182</v>
      </c>
    </row>
    <row r="318" customFormat="false" ht="15" hidden="false" customHeight="false" outlineLevel="0" collapsed="false">
      <c r="A318" s="25" t="n">
        <f aca="false">ROW()-5</f>
        <v>313</v>
      </c>
      <c r="B318" s="4" t="s">
        <v>773</v>
      </c>
      <c r="C318" s="4" t="s">
        <v>774</v>
      </c>
      <c r="D318" s="4" t="s">
        <v>83</v>
      </c>
      <c r="E318" s="4" t="s">
        <v>179</v>
      </c>
      <c r="F318" s="16" t="n">
        <v>26250</v>
      </c>
      <c r="G318" s="14" t="n">
        <f aca="false">IF(SUMIFS(F$6:F$473,D$6:D$473,D318,E$6:E$473,E318)=0,0,F318/SUMIFS(F$6:F$473,D$6:D$473,D318,E$6:E$473,E318))</f>
        <v>0.00367408653023642</v>
      </c>
      <c r="H318" s="5" t="n">
        <f aca="false">SUMIFS(Pareto_Categories!$G$6:$G$84,Pareto_Categories!$B$6:$B$84,D318,Pareto_Categories!$C$6:$C$84,E318)</f>
        <v>17.1493362305561</v>
      </c>
      <c r="I318" s="28" t="n">
        <f aca="false">G318*H318</f>
        <v>0.0630081452471814</v>
      </c>
      <c r="J318" s="29" t="n">
        <f aca="false">I318/$I$475</f>
        <v>5.44648275772739E-005</v>
      </c>
      <c r="K318" s="14" t="n">
        <f aca="false">SUM(J$6:J318)</f>
        <v>0.975440413737225</v>
      </c>
      <c r="L318" s="4" t="str">
        <f aca="false">IF(I318&lt;=0,"-",IF(K318-J318&lt;0.8,"A - top 80%",IF(K318-J318&lt;0.95,"B - next 15%","C - tail")))</f>
        <v>C - tail</v>
      </c>
      <c r="M318" s="16" t="n">
        <v>49933.0357142857</v>
      </c>
      <c r="N318" s="16" t="n">
        <v>56607.1428571429</v>
      </c>
      <c r="O318" s="17" t="n">
        <f aca="false">N318-M318</f>
        <v>6674.10714285715</v>
      </c>
      <c r="P318" s="14" t="n">
        <f aca="false">IF(M318&lt;1000,"new",R318)</f>
        <v>0.133661153330353</v>
      </c>
      <c r="Q318" s="4" t="str">
        <f aca="false">IF(LEFT(L318,1)="A",IF(R318&lt;-0.05,"2 FIX","1 PROTECT"),IF(AND(N318&gt;=300000,OR(P318="new",R318&gt;=0.25),LEFT(L318,1)&lt;&gt;"-"),"3 SCALE","4 MAINTAIN"))</f>
        <v>4 MAINTAIN</v>
      </c>
      <c r="R318" s="14" t="n">
        <f aca="false">IF(M318&lt;1000,0,N318/M318-1)</f>
        <v>0.133661153330353</v>
      </c>
    </row>
    <row r="319" customFormat="false" ht="15" hidden="false" customHeight="false" outlineLevel="0" collapsed="false">
      <c r="A319" s="25" t="n">
        <f aca="false">ROW()-5</f>
        <v>314</v>
      </c>
      <c r="B319" s="4" t="s">
        <v>811</v>
      </c>
      <c r="C319" s="4" t="s">
        <v>812</v>
      </c>
      <c r="D319" s="4" t="s">
        <v>78</v>
      </c>
      <c r="E319" s="4" t="s">
        <v>155</v>
      </c>
      <c r="F319" s="16" t="n">
        <v>20125</v>
      </c>
      <c r="G319" s="14" t="n">
        <f aca="false">IF(SUMIFS(F$6:F$473,D$6:D$473,D319,E$6:E$473,E319)=0,0,F319/SUMIFS(F$6:F$473,D$6:D$473,D319,E$6:E$473,E319))</f>
        <v>0.000767009365668585</v>
      </c>
      <c r="H319" s="5" t="n">
        <f aca="false">SUMIFS(Pareto_Categories!$G$6:$G$84,Pareto_Categories!$B$6:$B$84,D319,Pareto_Categories!$C$6:$C$84,E319)</f>
        <v>80.8950655838976</v>
      </c>
      <c r="I319" s="28" t="n">
        <f aca="false">G319*H319</f>
        <v>0.0620472729392239</v>
      </c>
      <c r="J319" s="29" t="n">
        <f aca="false">I319/$I$475</f>
        <v>5.36342406052026E-005</v>
      </c>
      <c r="K319" s="14" t="n">
        <f aca="false">SUM(J$6:J319)</f>
        <v>0.97549404797783</v>
      </c>
      <c r="L319" s="4" t="str">
        <f aca="false">IF(I319&lt;=0,"-",IF(K319-J319&lt;0.8,"A - top 80%",IF(K319-J319&lt;0.95,"B - next 15%","C - tail")))</f>
        <v>C - tail</v>
      </c>
      <c r="M319" s="16" t="n">
        <v>0</v>
      </c>
      <c r="N319" s="16" t="n">
        <v>20125</v>
      </c>
      <c r="O319" s="17" t="n">
        <f aca="false">N319-M319</f>
        <v>20125</v>
      </c>
      <c r="P319" s="14" t="str">
        <f aca="false">IF(M319&lt;1000,"new",R319)</f>
        <v>new</v>
      </c>
      <c r="Q319" s="4" t="str">
        <f aca="false">IF(LEFT(L319,1)="A",IF(R319&lt;-0.05,"2 FIX","1 PROTECT"),IF(AND(N319&gt;=300000,OR(P319="new",R319&gt;=0.25),LEFT(L319,1)&lt;&gt;"-"),"3 SCALE","4 MAINTAIN"))</f>
        <v>4 MAINTAIN</v>
      </c>
      <c r="R319" s="14" t="n">
        <f aca="false">IF(M319&lt;1000,0,N319/M319-1)</f>
        <v>0</v>
      </c>
    </row>
    <row r="320" customFormat="false" ht="15" hidden="false" customHeight="false" outlineLevel="0" collapsed="false">
      <c r="A320" s="25" t="n">
        <f aca="false">ROW()-5</f>
        <v>315</v>
      </c>
      <c r="B320" s="4" t="s">
        <v>813</v>
      </c>
      <c r="C320" s="4" t="s">
        <v>814</v>
      </c>
      <c r="D320" s="4" t="s">
        <v>78</v>
      </c>
      <c r="E320" s="4" t="s">
        <v>169</v>
      </c>
      <c r="F320" s="16" t="n">
        <v>13461.6071428571</v>
      </c>
      <c r="G320" s="14" t="n">
        <f aca="false">IF(SUMIFS(F$6:F$473,D$6:D$473,D320,E$6:E$473,E320)=0,0,F320/SUMIFS(F$6:F$473,D$6:D$473,D320,E$6:E$473,E320))</f>
        <v>0.0123742934456543</v>
      </c>
      <c r="H320" s="5" t="n">
        <f aca="false">SUMIFS(Pareto_Categories!$G$6:$G$84,Pareto_Categories!$B$6:$B$84,D320,Pareto_Categories!$C$6:$C$84,E320)</f>
        <v>4.89526180272377</v>
      </c>
      <c r="I320" s="28" t="n">
        <f aca="false">G320*H320</f>
        <v>0.0605754060402066</v>
      </c>
      <c r="J320" s="29" t="n">
        <f aca="false">I320/$I$475</f>
        <v>5.23619451494772E-005</v>
      </c>
      <c r="K320" s="14" t="n">
        <f aca="false">SUM(J$6:J320)</f>
        <v>0.97554640992298</v>
      </c>
      <c r="L320" s="4" t="str">
        <f aca="false">IF(I320&lt;=0,"-",IF(K320-J320&lt;0.8,"A - top 80%",IF(K320-J320&lt;0.95,"B - next 15%","C - tail")))</f>
        <v>C - tail</v>
      </c>
      <c r="M320" s="16" t="n">
        <v>24091.0714285714</v>
      </c>
      <c r="N320" s="16" t="n">
        <v>19949.1071428571</v>
      </c>
      <c r="O320" s="17" t="n">
        <f aca="false">N320-M320</f>
        <v>-4141.96428571429</v>
      </c>
      <c r="P320" s="14" t="n">
        <f aca="false">IF(M320&lt;1000,"new",R320)</f>
        <v>-0.171929434437774</v>
      </c>
      <c r="Q320" s="4" t="str">
        <f aca="false">IF(LEFT(L320,1)="A",IF(R320&lt;-0.05,"2 FIX","1 PROTECT"),IF(AND(N320&gt;=300000,OR(P320="new",R320&gt;=0.25),LEFT(L320,1)&lt;&gt;"-"),"3 SCALE","4 MAINTAIN"))</f>
        <v>4 MAINTAIN</v>
      </c>
      <c r="R320" s="14" t="n">
        <f aca="false">IF(M320&lt;1000,0,N320/M320-1)</f>
        <v>-0.171929434437774</v>
      </c>
    </row>
    <row r="321" customFormat="false" ht="15" hidden="false" customHeight="false" outlineLevel="0" collapsed="false">
      <c r="A321" s="25" t="n">
        <f aca="false">ROW()-5</f>
        <v>316</v>
      </c>
      <c r="B321" s="4" t="s">
        <v>815</v>
      </c>
      <c r="C321" s="4" t="s">
        <v>816</v>
      </c>
      <c r="D321" s="4" t="s">
        <v>78</v>
      </c>
      <c r="E321" s="4" t="s">
        <v>170</v>
      </c>
      <c r="F321" s="16" t="n">
        <v>19553.5714285714</v>
      </c>
      <c r="G321" s="14" t="n">
        <f aca="false">IF(SUMIFS(F$6:F$473,D$6:D$473,D321,E$6:E$473,E321)=0,0,F321/SUMIFS(F$6:F$473,D$6:D$473,D321,E$6:E$473,E321))</f>
        <v>0.0257301539181332</v>
      </c>
      <c r="H321" s="5" t="n">
        <f aca="false">SUMIFS(Pareto_Categories!$G$6:$G$84,Pareto_Categories!$B$6:$B$84,D321,Pareto_Categories!$C$6:$C$84,E321)</f>
        <v>2.21636597325937</v>
      </c>
      <c r="I321" s="28" t="n">
        <f aca="false">G321*H321</f>
        <v>0.0570274376308766</v>
      </c>
      <c r="J321" s="29" t="n">
        <f aca="false">I321/$I$475</f>
        <v>4.92950482124909E-005</v>
      </c>
      <c r="K321" s="14" t="n">
        <f aca="false">SUM(J$6:J321)</f>
        <v>0.975595704971192</v>
      </c>
      <c r="L321" s="4" t="str">
        <f aca="false">IF(I321&lt;=0,"-",IF(K321-J321&lt;0.8,"A - top 80%",IF(K321-J321&lt;0.95,"B - next 15%","C - tail")))</f>
        <v>C - tail</v>
      </c>
      <c r="M321" s="16" t="n">
        <v>44848.7232142857</v>
      </c>
      <c r="N321" s="16" t="n">
        <v>41472.3214285714</v>
      </c>
      <c r="O321" s="17" t="n">
        <f aca="false">N321-M321</f>
        <v>-3376.40178571429</v>
      </c>
      <c r="P321" s="14" t="n">
        <f aca="false">IF(M321&lt;1000,"new",R321)</f>
        <v>-0.0752842342820319</v>
      </c>
      <c r="Q321" s="4" t="str">
        <f aca="false">IF(LEFT(L321,1)="A",IF(R321&lt;-0.05,"2 FIX","1 PROTECT"),IF(AND(N321&gt;=300000,OR(P321="new",R321&gt;=0.25),LEFT(L321,1)&lt;&gt;"-"),"3 SCALE","4 MAINTAIN"))</f>
        <v>4 MAINTAIN</v>
      </c>
      <c r="R321" s="14" t="n">
        <f aca="false">IF(M321&lt;1000,0,N321/M321-1)</f>
        <v>-0.0752842342820319</v>
      </c>
    </row>
    <row r="322" customFormat="false" ht="15" hidden="false" customHeight="false" outlineLevel="0" collapsed="false">
      <c r="A322" s="25" t="n">
        <f aca="false">ROW()-5</f>
        <v>317</v>
      </c>
      <c r="B322" s="4" t="s">
        <v>817</v>
      </c>
      <c r="C322" s="4" t="s">
        <v>772</v>
      </c>
      <c r="D322" s="4" t="s">
        <v>78</v>
      </c>
      <c r="E322" s="4" t="s">
        <v>170</v>
      </c>
      <c r="F322" s="16" t="n">
        <v>18944.6428571429</v>
      </c>
      <c r="G322" s="14" t="n">
        <f aca="false">IF(SUMIFS(F$6:F$473,D$6:D$473,D322,E$6:E$473,E322)=0,0,F322/SUMIFS(F$6:F$473,D$6:D$473,D322,E$6:E$473,E322))</f>
        <v>0.0249288769787649</v>
      </c>
      <c r="H322" s="5" t="n">
        <f aca="false">SUMIFS(Pareto_Categories!$G$6:$G$84,Pareto_Categories!$B$6:$B$84,D322,Pareto_Categories!$C$6:$C$84,E322)</f>
        <v>2.21636597325937</v>
      </c>
      <c r="I322" s="28" t="n">
        <f aca="false">G322*H322</f>
        <v>0.0552515146873032</v>
      </c>
      <c r="J322" s="29" t="n">
        <f aca="false">I322/$I$475</f>
        <v>4.77599238800288E-005</v>
      </c>
      <c r="K322" s="14" t="n">
        <f aca="false">SUM(J$6:J322)</f>
        <v>0.975643464895072</v>
      </c>
      <c r="L322" s="4" t="str">
        <f aca="false">IF(I322&lt;=0,"-",IF(K322-J322&lt;0.8,"A - top 80%",IF(K322-J322&lt;0.95,"B - next 15%","C - tail")))</f>
        <v>C - tail</v>
      </c>
      <c r="M322" s="16" t="n">
        <v>48373.2142857143</v>
      </c>
      <c r="N322" s="16" t="n">
        <v>46350</v>
      </c>
      <c r="O322" s="17" t="n">
        <f aca="false">N322-M322</f>
        <v>-2023.21428571428</v>
      </c>
      <c r="P322" s="14" t="n">
        <f aca="false">IF(M322&lt;1000,"new",R322)</f>
        <v>-0.0418250950570341</v>
      </c>
      <c r="Q322" s="4" t="str">
        <f aca="false">IF(LEFT(L322,1)="A",IF(R322&lt;-0.05,"2 FIX","1 PROTECT"),IF(AND(N322&gt;=300000,OR(P322="new",R322&gt;=0.25),LEFT(L322,1)&lt;&gt;"-"),"3 SCALE","4 MAINTAIN"))</f>
        <v>4 MAINTAIN</v>
      </c>
      <c r="R322" s="14" t="n">
        <f aca="false">IF(M322&lt;1000,0,N322/M322-1)</f>
        <v>-0.0418250950570341</v>
      </c>
    </row>
    <row r="323" customFormat="false" ht="15" hidden="false" customHeight="false" outlineLevel="0" collapsed="false">
      <c r="A323" s="25" t="n">
        <f aca="false">ROW()-5</f>
        <v>318</v>
      </c>
      <c r="B323" s="4" t="s">
        <v>818</v>
      </c>
      <c r="C323" s="4" t="s">
        <v>819</v>
      </c>
      <c r="D323" s="4" t="s">
        <v>83</v>
      </c>
      <c r="E323" s="4" t="s">
        <v>226</v>
      </c>
      <c r="F323" s="16" t="n">
        <v>11239.2857142857</v>
      </c>
      <c r="G323" s="14" t="n">
        <f aca="false">IF(SUMIFS(F$6:F$473,D$6:D$473,D323,E$6:E$473,E323)=0,0,F323/SUMIFS(F$6:F$473,D$6:D$473,D323,E$6:E$473,E323))</f>
        <v>0.0779829017469954</v>
      </c>
      <c r="H323" s="5" t="n">
        <f aca="false">SUMIFS(Pareto_Categories!$G$6:$G$84,Pareto_Categories!$B$6:$B$84,D323,Pareto_Categories!$C$6:$C$84,E323)</f>
        <v>0.702899355173986</v>
      </c>
      <c r="I323" s="28" t="n">
        <f aca="false">G323*H323</f>
        <v>0.0548141313525593</v>
      </c>
      <c r="J323" s="29" t="n">
        <f aca="false">I323/$I$475</f>
        <v>4.73818456519118E-005</v>
      </c>
      <c r="K323" s="14" t="n">
        <f aca="false">SUM(J$6:J323)</f>
        <v>0.975690846740724</v>
      </c>
      <c r="L323" s="4" t="str">
        <f aca="false">IF(I323&lt;=0,"-",IF(K323-J323&lt;0.8,"A - top 80%",IF(K323-J323&lt;0.95,"B - next 15%","C - tail")))</f>
        <v>C - tail</v>
      </c>
      <c r="M323" s="16" t="n">
        <v>9366.07142857143</v>
      </c>
      <c r="N323" s="16" t="n">
        <v>11239.2857142857</v>
      </c>
      <c r="O323" s="17" t="n">
        <f aca="false">N323-M323</f>
        <v>1873.21428571428</v>
      </c>
      <c r="P323" s="14" t="n">
        <f aca="false">IF(M323&lt;1000,"new",R323)</f>
        <v>0.2</v>
      </c>
      <c r="Q323" s="4" t="str">
        <f aca="false">IF(LEFT(L323,1)="A",IF(R323&lt;-0.05,"2 FIX","1 PROTECT"),IF(AND(N323&gt;=300000,OR(P323="new",R323&gt;=0.25),LEFT(L323,1)&lt;&gt;"-"),"3 SCALE","4 MAINTAIN"))</f>
        <v>4 MAINTAIN</v>
      </c>
      <c r="R323" s="14" t="n">
        <f aca="false">IF(M323&lt;1000,0,N323/M323-1)</f>
        <v>0.2</v>
      </c>
    </row>
    <row r="324" customFormat="false" ht="15" hidden="false" customHeight="false" outlineLevel="0" collapsed="false">
      <c r="A324" s="25" t="n">
        <f aca="false">ROW()-5</f>
        <v>319</v>
      </c>
      <c r="B324" s="4" t="s">
        <v>820</v>
      </c>
      <c r="C324" s="4" t="s">
        <v>821</v>
      </c>
      <c r="D324" s="4" t="s">
        <v>83</v>
      </c>
      <c r="E324" s="4" t="s">
        <v>173</v>
      </c>
      <c r="F324" s="16" t="n">
        <v>12285.7142857143</v>
      </c>
      <c r="G324" s="14" t="n">
        <f aca="false">IF(SUMIFS(F$6:F$473,D$6:D$473,D324,E$6:E$473,E324)=0,0,F324/SUMIFS(F$6:F$473,D$6:D$473,D324,E$6:E$473,E324))</f>
        <v>1</v>
      </c>
      <c r="H324" s="5" t="n">
        <f aca="false">SUMIFS(Pareto_Categories!$G$6:$G$84,Pareto_Categories!$B$6:$B$84,D324,Pareto_Categories!$C$6:$C$84,E324)</f>
        <v>0.054278689585198</v>
      </c>
      <c r="I324" s="28" t="n">
        <f aca="false">G324*H324</f>
        <v>0.054278689585198</v>
      </c>
      <c r="J324" s="29" t="n">
        <f aca="false">I324/$I$475</f>
        <v>4.69190048013741E-005</v>
      </c>
      <c r="K324" s="14" t="n">
        <f aca="false">SUM(J$6:J324)</f>
        <v>0.975737765745526</v>
      </c>
      <c r="L324" s="4" t="str">
        <f aca="false">IF(I324&lt;=0,"-",IF(K324-J324&lt;0.8,"A - top 80%",IF(K324-J324&lt;0.95,"B - next 15%","C - tail")))</f>
        <v>C - tail</v>
      </c>
      <c r="M324" s="16" t="n">
        <v>74053.5714285714</v>
      </c>
      <c r="N324" s="16" t="n">
        <v>63035.7142857143</v>
      </c>
      <c r="O324" s="17" t="n">
        <f aca="false">N324-M324</f>
        <v>-11017.8571428571</v>
      </c>
      <c r="P324" s="14" t="n">
        <f aca="false">IF(M324&lt;1000,"new",R324)</f>
        <v>-0.148782252230528</v>
      </c>
      <c r="Q324" s="4" t="str">
        <f aca="false">IF(LEFT(L324,1)="A",IF(R324&lt;-0.05,"2 FIX","1 PROTECT"),IF(AND(N324&gt;=300000,OR(P324="new",R324&gt;=0.25),LEFT(L324,1)&lt;&gt;"-"),"3 SCALE","4 MAINTAIN"))</f>
        <v>4 MAINTAIN</v>
      </c>
      <c r="R324" s="14" t="n">
        <f aca="false">IF(M324&lt;1000,0,N324/M324-1)</f>
        <v>-0.148782252230528</v>
      </c>
    </row>
    <row r="325" customFormat="false" ht="15" hidden="false" customHeight="false" outlineLevel="0" collapsed="false">
      <c r="A325" s="25" t="n">
        <f aca="false">ROW()-5</f>
        <v>320</v>
      </c>
      <c r="B325" s="4" t="s">
        <v>822</v>
      </c>
      <c r="C325" s="4" t="s">
        <v>823</v>
      </c>
      <c r="D325" s="4" t="s">
        <v>78</v>
      </c>
      <c r="E325" s="4" t="s">
        <v>171</v>
      </c>
      <c r="F325" s="16" t="n">
        <v>18147.3214285714</v>
      </c>
      <c r="G325" s="14" t="n">
        <f aca="false">IF(SUMIFS(F$6:F$473,D$6:D$473,D325,E$6:E$473,E325)=0,0,F325/SUMIFS(F$6:F$473,D$6:D$473,D325,E$6:E$473,E325))</f>
        <v>0.029490980025966</v>
      </c>
      <c r="H325" s="5" t="n">
        <f aca="false">SUMIFS(Pareto_Categories!$G$6:$G$84,Pareto_Categories!$B$6:$B$84,D325,Pareto_Categories!$C$6:$C$84,E325)</f>
        <v>1.80666823968793</v>
      </c>
      <c r="I325" s="28" t="n">
        <f aca="false">G325*H325</f>
        <v>0.0532804169701839</v>
      </c>
      <c r="J325" s="29" t="n">
        <f aca="false">I325/$I$475</f>
        <v>4.60560886555558E-005</v>
      </c>
      <c r="K325" s="14" t="n">
        <f aca="false">SUM(J$6:J325)</f>
        <v>0.975783821834181</v>
      </c>
      <c r="L325" s="4" t="str">
        <f aca="false">IF(I325&lt;=0,"-",IF(K325-J325&lt;0.8,"A - top 80%",IF(K325-J325&lt;0.95,"B - next 15%","C - tail")))</f>
        <v>C - tail</v>
      </c>
      <c r="M325" s="16" t="n">
        <v>30736.6071428571</v>
      </c>
      <c r="N325" s="16" t="n">
        <v>35904.8125</v>
      </c>
      <c r="O325" s="17" t="n">
        <f aca="false">N325-M325</f>
        <v>5168.20535714286</v>
      </c>
      <c r="P325" s="14" t="n">
        <f aca="false">IF(M325&lt;1000,"new",R325)</f>
        <v>0.168144952795933</v>
      </c>
      <c r="Q325" s="4" t="str">
        <f aca="false">IF(LEFT(L325,1)="A",IF(R325&lt;-0.05,"2 FIX","1 PROTECT"),IF(AND(N325&gt;=300000,OR(P325="new",R325&gt;=0.25),LEFT(L325,1)&lt;&gt;"-"),"3 SCALE","4 MAINTAIN"))</f>
        <v>4 MAINTAIN</v>
      </c>
      <c r="R325" s="14" t="n">
        <f aca="false">IF(M325&lt;1000,0,N325/M325-1)</f>
        <v>0.168144952795933</v>
      </c>
    </row>
    <row r="326" customFormat="false" ht="15" hidden="false" customHeight="false" outlineLevel="0" collapsed="false">
      <c r="A326" s="25" t="n">
        <f aca="false">ROW()-5</f>
        <v>321</v>
      </c>
      <c r="B326" s="4" t="s">
        <v>824</v>
      </c>
      <c r="C326" s="4" t="s">
        <v>825</v>
      </c>
      <c r="D326" s="4" t="s">
        <v>83</v>
      </c>
      <c r="E326" s="4" t="s">
        <v>171</v>
      </c>
      <c r="F326" s="16" t="n">
        <v>14062.5</v>
      </c>
      <c r="G326" s="14" t="n">
        <f aca="false">IF(SUMIFS(F$6:F$473,D$6:D$473,D326,E$6:E$473,E326)=0,0,F326/SUMIFS(F$6:F$473,D$6:D$473,D326,E$6:E$473,E326))</f>
        <v>0.935384249910916</v>
      </c>
      <c r="H326" s="5" t="n">
        <f aca="false">SUMIFS(Pareto_Categories!$G$6:$G$84,Pareto_Categories!$B$6:$B$84,D326,Pareto_Categories!$C$6:$C$84,E326)</f>
        <v>0.0559390289925168</v>
      </c>
      <c r="I326" s="28" t="n">
        <f aca="false">G326*H326</f>
        <v>0.0523244866749103</v>
      </c>
      <c r="J326" s="29" t="n">
        <f aca="false">I326/$I$475</f>
        <v>4.52297736052759E-005</v>
      </c>
      <c r="K326" s="14" t="n">
        <f aca="false">SUM(J$6:J326)</f>
        <v>0.975829051607786</v>
      </c>
      <c r="L326" s="4" t="str">
        <f aca="false">IF(I326&lt;=0,"-",IF(K326-J326&lt;0.8,"A - top 80%",IF(K326-J326&lt;0.95,"B - next 15%","C - tail")))</f>
        <v>C - tail</v>
      </c>
      <c r="M326" s="16" t="n">
        <v>0</v>
      </c>
      <c r="N326" s="16" t="n">
        <v>14062.5</v>
      </c>
      <c r="O326" s="17" t="n">
        <f aca="false">N326-M326</f>
        <v>14062.5</v>
      </c>
      <c r="P326" s="14" t="str">
        <f aca="false">IF(M326&lt;1000,"new",R326)</f>
        <v>new</v>
      </c>
      <c r="Q326" s="4" t="str">
        <f aca="false">IF(LEFT(L326,1)="A",IF(R326&lt;-0.05,"2 FIX","1 PROTECT"),IF(AND(N326&gt;=300000,OR(P326="new",R326&gt;=0.25),LEFT(L326,1)&lt;&gt;"-"),"3 SCALE","4 MAINTAIN"))</f>
        <v>4 MAINTAIN</v>
      </c>
      <c r="R326" s="14" t="n">
        <f aca="false">IF(M326&lt;1000,0,N326/M326-1)</f>
        <v>0</v>
      </c>
    </row>
    <row r="327" customFormat="false" ht="15" hidden="false" customHeight="false" outlineLevel="0" collapsed="false">
      <c r="A327" s="25" t="n">
        <f aca="false">ROW()-5</f>
        <v>322</v>
      </c>
      <c r="B327" s="4" t="s">
        <v>686</v>
      </c>
      <c r="C327" s="4" t="s">
        <v>687</v>
      </c>
      <c r="D327" s="4" t="s">
        <v>83</v>
      </c>
      <c r="E327" s="4" t="s">
        <v>152</v>
      </c>
      <c r="F327" s="16" t="n">
        <v>308.928571428571</v>
      </c>
      <c r="G327" s="14" t="n">
        <f aca="false">IF(SUMIFS(F$6:F$473,D$6:D$473,D327,E$6:E$473,E327)=0,0,F327/SUMIFS(F$6:F$473,D$6:D$473,D327,E$6:E$473,E327))</f>
        <v>0.00771804595137185</v>
      </c>
      <c r="H327" s="5" t="n">
        <f aca="false">SUMIFS(Pareto_Categories!$G$6:$G$84,Pareto_Categories!$B$6:$B$84,D327,Pareto_Categories!$C$6:$C$84,E327)</f>
        <v>6.49945641033809</v>
      </c>
      <c r="I327" s="28" t="n">
        <f aca="false">G327*H327</f>
        <v>0.0501631032339277</v>
      </c>
      <c r="J327" s="29" t="n">
        <f aca="false">I327/$I$475</f>
        <v>4.33614536288716E-005</v>
      </c>
      <c r="K327" s="14" t="n">
        <f aca="false">SUM(J$6:J327)</f>
        <v>0.975872413061415</v>
      </c>
      <c r="L327" s="4" t="str">
        <f aca="false">IF(I327&lt;=0,"-",IF(K327-J327&lt;0.8,"A - top 80%",IF(K327-J327&lt;0.95,"B - next 15%","C - tail")))</f>
        <v>C - tail</v>
      </c>
      <c r="M327" s="16" t="n">
        <v>0</v>
      </c>
      <c r="N327" s="16" t="n">
        <v>308.928571428571</v>
      </c>
      <c r="O327" s="17" t="n">
        <f aca="false">N327-M327</f>
        <v>308.928571428571</v>
      </c>
      <c r="P327" s="14" t="str">
        <f aca="false">IF(M327&lt;1000,"new",R327)</f>
        <v>new</v>
      </c>
      <c r="Q327" s="4" t="str">
        <f aca="false">IF(LEFT(L327,1)="A",IF(R327&lt;-0.05,"2 FIX","1 PROTECT"),IF(AND(N327&gt;=300000,OR(P327="new",R327&gt;=0.25),LEFT(L327,1)&lt;&gt;"-"),"3 SCALE","4 MAINTAIN"))</f>
        <v>4 MAINTAIN</v>
      </c>
      <c r="R327" s="14" t="n">
        <f aca="false">IF(M327&lt;1000,0,N327/M327-1)</f>
        <v>0</v>
      </c>
    </row>
    <row r="328" customFormat="false" ht="15" hidden="false" customHeight="false" outlineLevel="0" collapsed="false">
      <c r="A328" s="25" t="n">
        <f aca="false">ROW()-5</f>
        <v>323</v>
      </c>
      <c r="B328" s="4" t="s">
        <v>565</v>
      </c>
      <c r="C328" s="4" t="s">
        <v>566</v>
      </c>
      <c r="D328" s="4" t="s">
        <v>83</v>
      </c>
      <c r="E328" s="4" t="s">
        <v>168</v>
      </c>
      <c r="F328" s="16" t="n">
        <v>42907.1428571429</v>
      </c>
      <c r="G328" s="14" t="n">
        <f aca="false">IF(SUMIFS(F$6:F$473,D$6:D$473,D328,E$6:E$473,E328)=0,0,F328/SUMIFS(F$6:F$473,D$6:D$473,D328,E$6:E$473,E328))</f>
        <v>0.973384646546486</v>
      </c>
      <c r="H328" s="5" t="n">
        <f aca="false">SUMIFS(Pareto_Categories!$G$6:$G$84,Pareto_Categories!$B$6:$B$84,D328,Pareto_Categories!$C$6:$C$84,E328)</f>
        <v>0.0509924342834135</v>
      </c>
      <c r="I328" s="28" t="n">
        <f aca="false">G328*H328</f>
        <v>0.0496352526215054</v>
      </c>
      <c r="J328" s="29" t="n">
        <f aca="false">I328/$I$475</f>
        <v>4.29051746433633E-005</v>
      </c>
      <c r="K328" s="14" t="n">
        <f aca="false">SUM(J$6:J328)</f>
        <v>0.975915318236059</v>
      </c>
      <c r="L328" s="4" t="str">
        <f aca="false">IF(I328&lt;=0,"-",IF(K328-J328&lt;0.8,"A - top 80%",IF(K328-J328&lt;0.95,"B - next 15%","C - tail")))</f>
        <v>C - tail</v>
      </c>
      <c r="M328" s="16" t="n">
        <v>0</v>
      </c>
      <c r="N328" s="16" t="n">
        <v>42907.1428571429</v>
      </c>
      <c r="O328" s="17" t="n">
        <f aca="false">N328-M328</f>
        <v>42907.1428571429</v>
      </c>
      <c r="P328" s="14" t="str">
        <f aca="false">IF(M328&lt;1000,"new",R328)</f>
        <v>new</v>
      </c>
      <c r="Q328" s="4" t="str">
        <f aca="false">IF(LEFT(L328,1)="A",IF(R328&lt;-0.05,"2 FIX","1 PROTECT"),IF(AND(N328&gt;=300000,OR(P328="new",R328&gt;=0.25),LEFT(L328,1)&lt;&gt;"-"),"3 SCALE","4 MAINTAIN"))</f>
        <v>4 MAINTAIN</v>
      </c>
      <c r="R328" s="14" t="n">
        <f aca="false">IF(M328&lt;1000,0,N328/M328-1)</f>
        <v>0</v>
      </c>
    </row>
    <row r="329" customFormat="false" ht="15" hidden="false" customHeight="false" outlineLevel="0" collapsed="false">
      <c r="A329" s="25" t="n">
        <f aca="false">ROW()-5</f>
        <v>324</v>
      </c>
      <c r="B329" s="4" t="s">
        <v>826</v>
      </c>
      <c r="C329" s="4" t="s">
        <v>827</v>
      </c>
      <c r="D329" s="4" t="s">
        <v>78</v>
      </c>
      <c r="E329" s="4" t="s">
        <v>167</v>
      </c>
      <c r="F329" s="16" t="n">
        <v>13250</v>
      </c>
      <c r="G329" s="14" t="n">
        <f aca="false">IF(SUMIFS(F$6:F$473,D$6:D$473,D329,E$6:E$473,E329)=0,0,F329/SUMIFS(F$6:F$473,D$6:D$473,D329,E$6:E$473,E329))</f>
        <v>0.0097419517167866</v>
      </c>
      <c r="H329" s="5" t="n">
        <f aca="false">SUMIFS(Pareto_Categories!$G$6:$G$84,Pareto_Categories!$B$6:$B$84,D329,Pareto_Categories!$C$6:$C$84,E329)</f>
        <v>5.01387386744405</v>
      </c>
      <c r="I329" s="28" t="n">
        <f aca="false">G329*H329</f>
        <v>0.048844917130698</v>
      </c>
      <c r="J329" s="29" t="n">
        <f aca="false">I329/$I$475</f>
        <v>4.22220012843293E-005</v>
      </c>
      <c r="K329" s="14" t="n">
        <f aca="false">SUM(J$6:J329)</f>
        <v>0.975957540237343</v>
      </c>
      <c r="L329" s="4" t="str">
        <f aca="false">IF(I329&lt;=0,"-",IF(K329-J329&lt;0.8,"A - top 80%",IF(K329-J329&lt;0.95,"B - next 15%","C - tail")))</f>
        <v>C - tail</v>
      </c>
      <c r="M329" s="16" t="n">
        <v>241437.5</v>
      </c>
      <c r="N329" s="16" t="n">
        <v>295962.5</v>
      </c>
      <c r="O329" s="17" t="n">
        <f aca="false">N329-M329</f>
        <v>54525</v>
      </c>
      <c r="P329" s="14" t="n">
        <f aca="false">IF(M329&lt;1000,"new",R329)</f>
        <v>0.225834843385969</v>
      </c>
      <c r="Q329" s="4" t="str">
        <f aca="false">IF(LEFT(L329,1)="A",IF(R329&lt;-0.05,"2 FIX","1 PROTECT"),IF(AND(N329&gt;=300000,OR(P329="new",R329&gt;=0.25),LEFT(L329,1)&lt;&gt;"-"),"3 SCALE","4 MAINTAIN"))</f>
        <v>4 MAINTAIN</v>
      </c>
      <c r="R329" s="14" t="n">
        <f aca="false">IF(M329&lt;1000,0,N329/M329-1)</f>
        <v>0.225834843385969</v>
      </c>
    </row>
    <row r="330" customFormat="false" ht="15" hidden="false" customHeight="false" outlineLevel="0" collapsed="false">
      <c r="A330" s="25" t="n">
        <f aca="false">ROW()-5</f>
        <v>325</v>
      </c>
      <c r="B330" s="4" t="s">
        <v>824</v>
      </c>
      <c r="C330" s="4" t="s">
        <v>825</v>
      </c>
      <c r="D330" s="4" t="s">
        <v>78</v>
      </c>
      <c r="E330" s="4" t="s">
        <v>171</v>
      </c>
      <c r="F330" s="16" t="n">
        <v>16071.4285714286</v>
      </c>
      <c r="G330" s="14" t="n">
        <f aca="false">IF(SUMIFS(F$6:F$473,D$6:D$473,D330,E$6:E$473,E330)=0,0,F330/SUMIFS(F$6:F$473,D$6:D$473,D330,E$6:E$473,E330))</f>
        <v>0.0261174730857263</v>
      </c>
      <c r="H330" s="5" t="n">
        <f aca="false">SUMIFS(Pareto_Categories!$G$6:$G$84,Pareto_Categories!$B$6:$B$84,D330,Pareto_Categories!$C$6:$C$84,E330)</f>
        <v>1.80666823968793</v>
      </c>
      <c r="I330" s="28" t="n">
        <f aca="false">G330*H330</f>
        <v>0.0471856091248861</v>
      </c>
      <c r="J330" s="29" t="n">
        <f aca="false">I330/$I$475</f>
        <v>4.07876799901601E-005</v>
      </c>
      <c r="K330" s="14" t="n">
        <f aca="false">SUM(J$6:J330)</f>
        <v>0.975998327917333</v>
      </c>
      <c r="L330" s="4" t="str">
        <f aca="false">IF(I330&lt;=0,"-",IF(K330-J330&lt;0.8,"A - top 80%",IF(K330-J330&lt;0.95,"B - next 15%","C - tail")))</f>
        <v>C - tail</v>
      </c>
      <c r="M330" s="16" t="n">
        <v>0</v>
      </c>
      <c r="N330" s="16" t="n">
        <v>16071.4285714286</v>
      </c>
      <c r="O330" s="17" t="n">
        <f aca="false">N330-M330</f>
        <v>16071.4285714286</v>
      </c>
      <c r="P330" s="14" t="str">
        <f aca="false">IF(M330&lt;1000,"new",R330)</f>
        <v>new</v>
      </c>
      <c r="Q330" s="4" t="str">
        <f aca="false">IF(LEFT(L330,1)="A",IF(R330&lt;-0.05,"2 FIX","1 PROTECT"),IF(AND(N330&gt;=300000,OR(P330="new",R330&gt;=0.25),LEFT(L330,1)&lt;&gt;"-"),"3 SCALE","4 MAINTAIN"))</f>
        <v>4 MAINTAIN</v>
      </c>
      <c r="R330" s="14" t="n">
        <f aca="false">IF(M330&lt;1000,0,N330/M330-1)</f>
        <v>0</v>
      </c>
    </row>
    <row r="331" customFormat="false" ht="15" hidden="false" customHeight="false" outlineLevel="0" collapsed="false">
      <c r="A331" s="25" t="n">
        <f aca="false">ROW()-5</f>
        <v>326</v>
      </c>
      <c r="B331" s="4" t="s">
        <v>828</v>
      </c>
      <c r="C331" s="4" t="s">
        <v>829</v>
      </c>
      <c r="D331" s="4" t="s">
        <v>83</v>
      </c>
      <c r="E331" s="4" t="s">
        <v>226</v>
      </c>
      <c r="F331" s="16" t="n">
        <v>9160.71428571428</v>
      </c>
      <c r="G331" s="14" t="n">
        <f aca="false">IF(SUMIFS(F$6:F$473,D$6:D$473,D331,E$6:E$473,E331)=0,0,F331/SUMIFS(F$6:F$473,D$6:D$473,D331,E$6:E$473,E331))</f>
        <v>0.0635608970387808</v>
      </c>
      <c r="H331" s="5" t="n">
        <f aca="false">SUMIFS(Pareto_Categories!$G$6:$G$84,Pareto_Categories!$B$6:$B$84,D331,Pareto_Categories!$C$6:$C$84,E331)</f>
        <v>0.702899355173986</v>
      </c>
      <c r="I331" s="28" t="n">
        <f aca="false">G331*H331</f>
        <v>0.0446769135428391</v>
      </c>
      <c r="J331" s="29" t="n">
        <f aca="false">I331/$I$475</f>
        <v>3.86191401643323E-005</v>
      </c>
      <c r="K331" s="14" t="n">
        <f aca="false">SUM(J$6:J331)</f>
        <v>0.976036947057498</v>
      </c>
      <c r="L331" s="4" t="str">
        <f aca="false">IF(I331&lt;=0,"-",IF(K331-J331&lt;0.8,"A - top 80%",IF(K331-J331&lt;0.95,"B - next 15%","C - tail")))</f>
        <v>C - tail</v>
      </c>
      <c r="M331" s="16" t="n">
        <v>23410.7142857143</v>
      </c>
      <c r="N331" s="16" t="n">
        <v>14250</v>
      </c>
      <c r="O331" s="17" t="n">
        <f aca="false">N331-M331</f>
        <v>-9160.71428571428</v>
      </c>
      <c r="P331" s="14" t="n">
        <f aca="false">IF(M331&lt;1000,"new",R331)</f>
        <v>-0.391304347826087</v>
      </c>
      <c r="Q331" s="4" t="str">
        <f aca="false">IF(LEFT(L331,1)="A",IF(R331&lt;-0.05,"2 FIX","1 PROTECT"),IF(AND(N331&gt;=300000,OR(P331="new",R331&gt;=0.25),LEFT(L331,1)&lt;&gt;"-"),"3 SCALE","4 MAINTAIN"))</f>
        <v>4 MAINTAIN</v>
      </c>
      <c r="R331" s="14" t="n">
        <f aca="false">IF(M331&lt;1000,0,N331/M331-1)</f>
        <v>-0.391304347826087</v>
      </c>
    </row>
    <row r="332" customFormat="false" ht="15" hidden="false" customHeight="false" outlineLevel="0" collapsed="false">
      <c r="A332" s="25" t="n">
        <f aca="false">ROW()-5</f>
        <v>327</v>
      </c>
      <c r="B332" s="4" t="s">
        <v>830</v>
      </c>
      <c r="C332" s="4" t="s">
        <v>682</v>
      </c>
      <c r="D332" s="4" t="s">
        <v>78</v>
      </c>
      <c r="E332" s="4" t="s">
        <v>170</v>
      </c>
      <c r="F332" s="16" t="n">
        <v>15241.9642857143</v>
      </c>
      <c r="G332" s="14" t="n">
        <f aca="false">IF(SUMIFS(F$6:F$473,D$6:D$473,D332,E$6:E$473,E332)=0,0,F332/SUMIFS(F$6:F$473,D$6:D$473,D332,E$6:E$473,E332))</f>
        <v>0.0200565962345412</v>
      </c>
      <c r="H332" s="5" t="n">
        <f aca="false">SUMIFS(Pareto_Categories!$G$6:$G$84,Pareto_Categories!$B$6:$B$84,D332,Pareto_Categories!$C$6:$C$84,E332)</f>
        <v>2.21636597325937</v>
      </c>
      <c r="I332" s="28" t="n">
        <f aca="false">G332*H332</f>
        <v>0.044452757433639</v>
      </c>
      <c r="J332" s="29" t="n">
        <f aca="false">I332/$I$475</f>
        <v>3.84253775358645E-005</v>
      </c>
      <c r="K332" s="14" t="n">
        <f aca="false">SUM(J$6:J332)</f>
        <v>0.976075372435033</v>
      </c>
      <c r="L332" s="4" t="str">
        <f aca="false">IF(I332&lt;=0,"-",IF(K332-J332&lt;0.8,"A - top 80%",IF(K332-J332&lt;0.95,"B - next 15%","C - tail")))</f>
        <v>C - tail</v>
      </c>
      <c r="M332" s="16" t="n">
        <v>28750.8928571429</v>
      </c>
      <c r="N332" s="16" t="n">
        <v>27914.2857142857</v>
      </c>
      <c r="O332" s="17" t="n">
        <f aca="false">N332-M332</f>
        <v>-836.607142857149</v>
      </c>
      <c r="P332" s="14" t="n">
        <f aca="false">IF(M332&lt;1000,"new",R332)</f>
        <v>-0.0290984752026336</v>
      </c>
      <c r="Q332" s="4" t="str">
        <f aca="false">IF(LEFT(L332,1)="A",IF(R332&lt;-0.05,"2 FIX","1 PROTECT"),IF(AND(N332&gt;=300000,OR(P332="new",R332&gt;=0.25),LEFT(L332,1)&lt;&gt;"-"),"3 SCALE","4 MAINTAIN"))</f>
        <v>4 MAINTAIN</v>
      </c>
      <c r="R332" s="14" t="n">
        <f aca="false">IF(M332&lt;1000,0,N332/M332-1)</f>
        <v>-0.0290984752026336</v>
      </c>
    </row>
    <row r="333" customFormat="false" ht="15" hidden="false" customHeight="false" outlineLevel="0" collapsed="false">
      <c r="A333" s="25" t="n">
        <f aca="false">ROW()-5</f>
        <v>328</v>
      </c>
      <c r="B333" s="4" t="s">
        <v>831</v>
      </c>
      <c r="C333" s="4" t="s">
        <v>772</v>
      </c>
      <c r="D333" s="4" t="s">
        <v>78</v>
      </c>
      <c r="E333" s="4" t="s">
        <v>170</v>
      </c>
      <c r="F333" s="16" t="n">
        <v>15082.1428571429</v>
      </c>
      <c r="G333" s="14" t="n">
        <f aca="false">IF(SUMIFS(F$6:F$473,D$6:D$473,D333,E$6:E$473,E333)=0,0,F333/SUMIFS(F$6:F$473,D$6:D$473,D333,E$6:E$473,E333))</f>
        <v>0.0198462904102788</v>
      </c>
      <c r="H333" s="5" t="n">
        <f aca="false">SUMIFS(Pareto_Categories!$G$6:$G$84,Pareto_Categories!$B$6:$B$84,D333,Pareto_Categories!$C$6:$C$84,E333)</f>
        <v>2.21636597325937</v>
      </c>
      <c r="I333" s="28" t="n">
        <f aca="false">G333*H333</f>
        <v>0.0439866427607657</v>
      </c>
      <c r="J333" s="29" t="n">
        <f aca="false">I333/$I$475</f>
        <v>3.80224636714793E-005</v>
      </c>
      <c r="K333" s="14" t="n">
        <f aca="false">SUM(J$6:J333)</f>
        <v>0.976113394898705</v>
      </c>
      <c r="L333" s="4" t="str">
        <f aca="false">IF(I333&lt;=0,"-",IF(K333-J333&lt;0.8,"A - top 80%",IF(K333-J333&lt;0.95,"B - next 15%","C - tail")))</f>
        <v>C - tail</v>
      </c>
      <c r="M333" s="16" t="n">
        <v>47085.7142857143</v>
      </c>
      <c r="N333" s="16" t="n">
        <v>40280.3571428571</v>
      </c>
      <c r="O333" s="17" t="n">
        <f aca="false">N333-M333</f>
        <v>-6805.35714285715</v>
      </c>
      <c r="P333" s="14" t="n">
        <f aca="false">IF(M333&lt;1000,"new",R333)</f>
        <v>-0.14453125</v>
      </c>
      <c r="Q333" s="4" t="str">
        <f aca="false">IF(LEFT(L333,1)="A",IF(R333&lt;-0.05,"2 FIX","1 PROTECT"),IF(AND(N333&gt;=300000,OR(P333="new",R333&gt;=0.25),LEFT(L333,1)&lt;&gt;"-"),"3 SCALE","4 MAINTAIN"))</f>
        <v>4 MAINTAIN</v>
      </c>
      <c r="R333" s="14" t="n">
        <f aca="false">IF(M333&lt;1000,0,N333/M333-1)</f>
        <v>-0.14453125</v>
      </c>
    </row>
    <row r="334" customFormat="false" ht="15" hidden="false" customHeight="false" outlineLevel="0" collapsed="false">
      <c r="A334" s="25" t="n">
        <f aca="false">ROW()-5</f>
        <v>329</v>
      </c>
      <c r="B334" s="4" t="s">
        <v>832</v>
      </c>
      <c r="C334" s="4" t="s">
        <v>833</v>
      </c>
      <c r="D334" s="4" t="s">
        <v>78</v>
      </c>
      <c r="E334" s="4" t="s">
        <v>169</v>
      </c>
      <c r="F334" s="16" t="n">
        <v>9725</v>
      </c>
      <c r="G334" s="14" t="n">
        <f aca="false">IF(SUMIFS(F$6:F$473,D$6:D$473,D334,E$6:E$473,E334)=0,0,F334/SUMIFS(F$6:F$473,D$6:D$473,D334,E$6:E$473,E334))</f>
        <v>0.00893949752670072</v>
      </c>
      <c r="H334" s="5" t="n">
        <f aca="false">SUMIFS(Pareto_Categories!$G$6:$G$84,Pareto_Categories!$B$6:$B$84,D334,Pareto_Categories!$C$6:$C$84,E334)</f>
        <v>4.89526180272377</v>
      </c>
      <c r="I334" s="28" t="n">
        <f aca="false">G334*H334</f>
        <v>0.0437611807780016</v>
      </c>
      <c r="J334" s="29" t="n">
        <f aca="false">I334/$I$475</f>
        <v>3.78275722337405E-005</v>
      </c>
      <c r="K334" s="14" t="n">
        <f aca="false">SUM(J$6:J334)</f>
        <v>0.976151222470939</v>
      </c>
      <c r="L334" s="4" t="str">
        <f aca="false">IF(I334&lt;=0,"-",IF(K334-J334&lt;0.8,"A - top 80%",IF(K334-J334&lt;0.95,"B - next 15%","C - tail")))</f>
        <v>C - tail</v>
      </c>
      <c r="M334" s="16" t="n">
        <v>1599.10714285714</v>
      </c>
      <c r="N334" s="16" t="n">
        <v>33264.2857142857</v>
      </c>
      <c r="O334" s="17" t="n">
        <f aca="false">N334-M334</f>
        <v>31665.1785714286</v>
      </c>
      <c r="P334" s="14" t="n">
        <f aca="false">IF(M334&lt;1000,"new",R334)</f>
        <v>19.8017867113344</v>
      </c>
      <c r="Q334" s="4" t="str">
        <f aca="false">IF(LEFT(L334,1)="A",IF(R334&lt;-0.05,"2 FIX","1 PROTECT"),IF(AND(N334&gt;=300000,OR(P334="new",R334&gt;=0.25),LEFT(L334,1)&lt;&gt;"-"),"3 SCALE","4 MAINTAIN"))</f>
        <v>4 MAINTAIN</v>
      </c>
      <c r="R334" s="14" t="n">
        <f aca="false">IF(M334&lt;1000,0,N334/M334-1)</f>
        <v>19.8017867113344</v>
      </c>
    </row>
    <row r="335" customFormat="false" ht="15" hidden="false" customHeight="false" outlineLevel="0" collapsed="false">
      <c r="A335" s="25" t="n">
        <f aca="false">ROW()-5</f>
        <v>330</v>
      </c>
      <c r="B335" s="4" t="s">
        <v>788</v>
      </c>
      <c r="C335" s="4" t="s">
        <v>789</v>
      </c>
      <c r="D335" s="4" t="s">
        <v>83</v>
      </c>
      <c r="E335" s="4" t="s">
        <v>179</v>
      </c>
      <c r="F335" s="16" t="n">
        <v>18102.6785714286</v>
      </c>
      <c r="G335" s="14" t="n">
        <f aca="false">IF(SUMIFS(F$6:F$473,D$6:D$473,D335,E$6:E$473,E335)=0,0,F335/SUMIFS(F$6:F$473,D$6:D$473,D335,E$6:E$473,E335))</f>
        <v>0.00253374504763753</v>
      </c>
      <c r="H335" s="5" t="n">
        <f aca="false">SUMIFS(Pareto_Categories!$G$6:$G$84,Pareto_Categories!$B$6:$B$84,D335,Pareto_Categories!$C$6:$C$84,E335)</f>
        <v>17.1493362305561</v>
      </c>
      <c r="I335" s="28" t="n">
        <f aca="false">G335*H335</f>
        <v>0.0434520457444423</v>
      </c>
      <c r="J335" s="29" t="n">
        <f aca="false">I335/$I$475</f>
        <v>3.75603530316064E-005</v>
      </c>
      <c r="K335" s="14" t="n">
        <f aca="false">SUM(J$6:J335)</f>
        <v>0.97618878282397</v>
      </c>
      <c r="L335" s="4" t="str">
        <f aca="false">IF(I335&lt;=0,"-",IF(K335-J335&lt;0.8,"A - top 80%",IF(K335-J335&lt;0.95,"B - next 15%","C - tail")))</f>
        <v>C - tail</v>
      </c>
      <c r="M335" s="16" t="n">
        <v>36004.4642857143</v>
      </c>
      <c r="N335" s="16" t="n">
        <v>39575.8928571429</v>
      </c>
      <c r="O335" s="17" t="n">
        <f aca="false">N335-M335</f>
        <v>3571.42857142858</v>
      </c>
      <c r="P335" s="14" t="n">
        <f aca="false">IF(M335&lt;1000,"new",R335)</f>
        <v>0.0991940483570988</v>
      </c>
      <c r="Q335" s="4" t="str">
        <f aca="false">IF(LEFT(L335,1)="A",IF(R335&lt;-0.05,"2 FIX","1 PROTECT"),IF(AND(N335&gt;=300000,OR(P335="new",R335&gt;=0.25),LEFT(L335,1)&lt;&gt;"-"),"3 SCALE","4 MAINTAIN"))</f>
        <v>4 MAINTAIN</v>
      </c>
      <c r="R335" s="14" t="n">
        <f aca="false">IF(M335&lt;1000,0,N335/M335-1)</f>
        <v>0.0991940483570988</v>
      </c>
    </row>
    <row r="336" customFormat="false" ht="15" hidden="false" customHeight="false" outlineLevel="0" collapsed="false">
      <c r="A336" s="25" t="n">
        <f aca="false">ROW()-5</f>
        <v>331</v>
      </c>
      <c r="B336" s="4" t="s">
        <v>834</v>
      </c>
      <c r="C336" s="4" t="s">
        <v>835</v>
      </c>
      <c r="D336" s="4" t="s">
        <v>78</v>
      </c>
      <c r="E336" s="4" t="s">
        <v>167</v>
      </c>
      <c r="F336" s="16" t="n">
        <v>11541.0714285714</v>
      </c>
      <c r="G336" s="14" t="n">
        <f aca="false">IF(SUMIFS(F$6:F$473,D$6:D$473,D336,E$6:E$473,E336)=0,0,F336/SUMIFS(F$6:F$473,D$6:D$473,D336,E$6:E$473,E336))</f>
        <v>0.00848547627299081</v>
      </c>
      <c r="H336" s="5" t="n">
        <f aca="false">SUMIFS(Pareto_Categories!$G$6:$G$84,Pareto_Categories!$B$6:$B$84,D336,Pareto_Categories!$C$6:$C$84,E336)</f>
        <v>5.01387386744405</v>
      </c>
      <c r="I336" s="28" t="n">
        <f aca="false">G336*H336</f>
        <v>0.0425451077379652</v>
      </c>
      <c r="J336" s="29" t="n">
        <f aca="false">I336/$I$475</f>
        <v>3.67763873720512E-005</v>
      </c>
      <c r="K336" s="14" t="n">
        <f aca="false">SUM(J$6:J336)</f>
        <v>0.976225559211342</v>
      </c>
      <c r="L336" s="4" t="str">
        <f aca="false">IF(I336&lt;=0,"-",IF(K336-J336&lt;0.8,"A - top 80%",IF(K336-J336&lt;0.95,"B - next 15%","C - tail")))</f>
        <v>C - tail</v>
      </c>
      <c r="M336" s="16" t="n">
        <v>9558.03571428571</v>
      </c>
      <c r="N336" s="16" t="n">
        <v>20652.6785714286</v>
      </c>
      <c r="O336" s="17" t="n">
        <f aca="false">N336-M336</f>
        <v>11094.6428571429</v>
      </c>
      <c r="P336" s="14" t="n">
        <f aca="false">IF(M336&lt;1000,"new",R336)</f>
        <v>1.16076599719757</v>
      </c>
      <c r="Q336" s="4" t="str">
        <f aca="false">IF(LEFT(L336,1)="A",IF(R336&lt;-0.05,"2 FIX","1 PROTECT"),IF(AND(N336&gt;=300000,OR(P336="new",R336&gt;=0.25),LEFT(L336,1)&lt;&gt;"-"),"3 SCALE","4 MAINTAIN"))</f>
        <v>4 MAINTAIN</v>
      </c>
      <c r="R336" s="14" t="n">
        <f aca="false">IF(M336&lt;1000,0,N336/M336-1)</f>
        <v>1.16076599719757</v>
      </c>
    </row>
    <row r="337" customFormat="false" ht="15" hidden="false" customHeight="false" outlineLevel="0" collapsed="false">
      <c r="A337" s="25" t="n">
        <f aca="false">ROW()-5</f>
        <v>332</v>
      </c>
      <c r="B337" s="4" t="s">
        <v>820</v>
      </c>
      <c r="C337" s="4" t="s">
        <v>821</v>
      </c>
      <c r="D337" s="4" t="s">
        <v>78</v>
      </c>
      <c r="E337" s="4" t="s">
        <v>173</v>
      </c>
      <c r="F337" s="16" t="n">
        <v>12375</v>
      </c>
      <c r="G337" s="14" t="n">
        <f aca="false">IF(SUMIFS(F$6:F$473,D$6:D$473,D337,E$6:E$473,E337)=0,0,F337/SUMIFS(F$6:F$473,D$6:D$473,D337,E$6:E$473,E337))</f>
        <v>1</v>
      </c>
      <c r="H337" s="5" t="n">
        <f aca="false">SUMIFS(Pareto_Categories!$G$6:$G$84,Pareto_Categories!$B$6:$B$84,D337,Pareto_Categories!$C$6:$C$84,E337)</f>
        <v>0.0422591791719123</v>
      </c>
      <c r="I337" s="28" t="n">
        <f aca="false">G337*H337</f>
        <v>0.0422591791719123</v>
      </c>
      <c r="J337" s="29" t="n">
        <f aca="false">I337/$I$475</f>
        <v>3.65292280565628E-005</v>
      </c>
      <c r="K337" s="14" t="n">
        <f aca="false">SUM(J$6:J337)</f>
        <v>0.976262088439399</v>
      </c>
      <c r="L337" s="4" t="str">
        <f aca="false">IF(I337&lt;=0,"-",IF(K337-J337&lt;0.8,"A - top 80%",IF(K337-J337&lt;0.95,"B - next 15%","C - tail")))</f>
        <v>C - tail</v>
      </c>
      <c r="M337" s="16" t="n">
        <v>87517.8571428571</v>
      </c>
      <c r="N337" s="16" t="n">
        <v>51214.2857142857</v>
      </c>
      <c r="O337" s="17" t="n">
        <f aca="false">N337-M337</f>
        <v>-36303.5714285714</v>
      </c>
      <c r="P337" s="14" t="n">
        <f aca="false">IF(M337&lt;1000,"new",R337)</f>
        <v>-0.414813303407468</v>
      </c>
      <c r="Q337" s="4" t="str">
        <f aca="false">IF(LEFT(L337,1)="A",IF(R337&lt;-0.05,"2 FIX","1 PROTECT"),IF(AND(N337&gt;=300000,OR(P337="new",R337&gt;=0.25),LEFT(L337,1)&lt;&gt;"-"),"3 SCALE","4 MAINTAIN"))</f>
        <v>4 MAINTAIN</v>
      </c>
      <c r="R337" s="14" t="n">
        <f aca="false">IF(M337&lt;1000,0,N337/M337-1)</f>
        <v>-0.414813303407468</v>
      </c>
    </row>
    <row r="338" customFormat="false" ht="15" hidden="false" customHeight="false" outlineLevel="0" collapsed="false">
      <c r="A338" s="25" t="n">
        <f aca="false">ROW()-5</f>
        <v>333</v>
      </c>
      <c r="B338" s="4" t="s">
        <v>836</v>
      </c>
      <c r="C338" s="4" t="s">
        <v>835</v>
      </c>
      <c r="D338" s="4" t="s">
        <v>78</v>
      </c>
      <c r="E338" s="4" t="s">
        <v>167</v>
      </c>
      <c r="F338" s="16" t="n">
        <v>11352.6785714286</v>
      </c>
      <c r="G338" s="14" t="n">
        <f aca="false">IF(SUMIFS(F$6:F$473,D$6:D$473,D338,E$6:E$473,E338)=0,0,F338/SUMIFS(F$6:F$473,D$6:D$473,D338,E$6:E$473,E338))</f>
        <v>0.00834696199992868</v>
      </c>
      <c r="H338" s="5" t="n">
        <f aca="false">SUMIFS(Pareto_Categories!$G$6:$G$84,Pareto_Categories!$B$6:$B$84,D338,Pareto_Categories!$C$6:$C$84,E338)</f>
        <v>5.01387386744405</v>
      </c>
      <c r="I338" s="28" t="n">
        <f aca="false">G338*H338</f>
        <v>0.0418506146439909</v>
      </c>
      <c r="J338" s="29" t="n">
        <f aca="false">I338/$I$475</f>
        <v>3.61760610734668E-005</v>
      </c>
      <c r="K338" s="14" t="n">
        <f aca="false">SUM(J$6:J338)</f>
        <v>0.976298264500472</v>
      </c>
      <c r="L338" s="4" t="str">
        <f aca="false">IF(I338&lt;=0,"-",IF(K338-J338&lt;0.8,"A - top 80%",IF(K338-J338&lt;0.95,"B - next 15%","C - tail")))</f>
        <v>C - tail</v>
      </c>
      <c r="M338" s="16" t="n">
        <v>9841.07142857143</v>
      </c>
      <c r="N338" s="16" t="n">
        <v>24275.8928571429</v>
      </c>
      <c r="O338" s="17" t="n">
        <f aca="false">N338-M338</f>
        <v>14434.8214285714</v>
      </c>
      <c r="P338" s="14" t="n">
        <f aca="false">IF(M338&lt;1000,"new",R338)</f>
        <v>1.46679368535656</v>
      </c>
      <c r="Q338" s="4" t="str">
        <f aca="false">IF(LEFT(L338,1)="A",IF(R338&lt;-0.05,"2 FIX","1 PROTECT"),IF(AND(N338&gt;=300000,OR(P338="new",R338&gt;=0.25),LEFT(L338,1)&lt;&gt;"-"),"3 SCALE","4 MAINTAIN"))</f>
        <v>4 MAINTAIN</v>
      </c>
      <c r="R338" s="14" t="n">
        <f aca="false">IF(M338&lt;1000,0,N338/M338-1)</f>
        <v>1.46679368535656</v>
      </c>
    </row>
    <row r="339" customFormat="false" ht="15" hidden="false" customHeight="false" outlineLevel="0" collapsed="false">
      <c r="A339" s="25" t="n">
        <f aca="false">ROW()-5</f>
        <v>334</v>
      </c>
      <c r="B339" s="4" t="s">
        <v>837</v>
      </c>
      <c r="C339" s="4" t="s">
        <v>838</v>
      </c>
      <c r="D339" s="4" t="s">
        <v>78</v>
      </c>
      <c r="E339" s="4" t="s">
        <v>169</v>
      </c>
      <c r="F339" s="16" t="n">
        <v>9049.10714285714</v>
      </c>
      <c r="G339" s="14" t="n">
        <f aca="false">IF(SUMIFS(F$6:F$473,D$6:D$473,D339,E$6:E$473,E339)=0,0,F339/SUMIFS(F$6:F$473,D$6:D$473,D339,E$6:E$473,E339))</f>
        <v>0.00831819752415642</v>
      </c>
      <c r="H339" s="5" t="n">
        <f aca="false">SUMIFS(Pareto_Categories!$G$6:$G$84,Pareto_Categories!$B$6:$B$84,D339,Pareto_Categories!$C$6:$C$84,E339)</f>
        <v>4.89526180272377</v>
      </c>
      <c r="I339" s="28" t="n">
        <f aca="false">G339*H339</f>
        <v>0.0407197546075144</v>
      </c>
      <c r="J339" s="29" t="n">
        <f aca="false">I339/$I$475</f>
        <v>3.51985351256849E-005</v>
      </c>
      <c r="K339" s="14" t="n">
        <f aca="false">SUM(J$6:J339)</f>
        <v>0.976333463035598</v>
      </c>
      <c r="L339" s="4" t="str">
        <f aca="false">IF(I339&lt;=0,"-",IF(K339-J339&lt;0.8,"A - top 80%",IF(K339-J339&lt;0.95,"B - next 15%","C - tail")))</f>
        <v>C - tail</v>
      </c>
      <c r="M339" s="16" t="n">
        <v>18377.6785714286</v>
      </c>
      <c r="N339" s="16" t="n">
        <v>19575.8928571429</v>
      </c>
      <c r="O339" s="17" t="n">
        <f aca="false">N339-M339</f>
        <v>1198.21428571429</v>
      </c>
      <c r="P339" s="14" t="n">
        <f aca="false">IF(M339&lt;1000,"new",R339)</f>
        <v>0.0651994364281205</v>
      </c>
      <c r="Q339" s="4" t="str">
        <f aca="false">IF(LEFT(L339,1)="A",IF(R339&lt;-0.05,"2 FIX","1 PROTECT"),IF(AND(N339&gt;=300000,OR(P339="new",R339&gt;=0.25),LEFT(L339,1)&lt;&gt;"-"),"3 SCALE","4 MAINTAIN"))</f>
        <v>4 MAINTAIN</v>
      </c>
      <c r="R339" s="14" t="n">
        <f aca="false">IF(M339&lt;1000,0,N339/M339-1)</f>
        <v>0.0651994364281205</v>
      </c>
    </row>
    <row r="340" customFormat="false" ht="15" hidden="false" customHeight="false" outlineLevel="0" collapsed="false">
      <c r="A340" s="25" t="n">
        <f aca="false">ROW()-5</f>
        <v>335</v>
      </c>
      <c r="B340" s="4" t="s">
        <v>839</v>
      </c>
      <c r="C340" s="4" t="s">
        <v>840</v>
      </c>
      <c r="D340" s="4" t="s">
        <v>83</v>
      </c>
      <c r="E340" s="4" t="s">
        <v>226</v>
      </c>
      <c r="F340" s="16" t="n">
        <v>7944.64285714286</v>
      </c>
      <c r="G340" s="14" t="n">
        <f aca="false">IF(SUMIFS(F$6:F$473,D$6:D$473,D340,E$6:E$473,E340)=0,0,F340/SUMIFS(F$6:F$473,D$6:D$473,D340,E$6:E$473,E340))</f>
        <v>0.0551232808821707</v>
      </c>
      <c r="H340" s="5" t="n">
        <f aca="false">SUMIFS(Pareto_Categories!$G$6:$G$84,Pareto_Categories!$B$6:$B$84,D340,Pareto_Categories!$C$6:$C$84,E340)</f>
        <v>0.702899355173986</v>
      </c>
      <c r="I340" s="28" t="n">
        <f aca="false">G340*H340</f>
        <v>0.0387461185871523</v>
      </c>
      <c r="J340" s="29" t="n">
        <f aca="false">I340/$I$475</f>
        <v>3.34925057682484E-005</v>
      </c>
      <c r="K340" s="14" t="n">
        <f aca="false">SUM(J$6:J340)</f>
        <v>0.976366955541366</v>
      </c>
      <c r="L340" s="4" t="str">
        <f aca="false">IF(I340&lt;=0,"-",IF(K340-J340&lt;0.8,"A - top 80%",IF(K340-J340&lt;0.95,"B - next 15%","C - tail")))</f>
        <v>C - tail</v>
      </c>
      <c r="M340" s="16" t="n">
        <v>15889.2857142857</v>
      </c>
      <c r="N340" s="16" t="n">
        <v>10592.8571428571</v>
      </c>
      <c r="O340" s="17" t="n">
        <f aca="false">N340-M340</f>
        <v>-5296.42857142857</v>
      </c>
      <c r="P340" s="14" t="n">
        <f aca="false">IF(M340&lt;1000,"new",R340)</f>
        <v>-0.333333333333333</v>
      </c>
      <c r="Q340" s="4" t="str">
        <f aca="false">IF(LEFT(L340,1)="A",IF(R340&lt;-0.05,"2 FIX","1 PROTECT"),IF(AND(N340&gt;=300000,OR(P340="new",R340&gt;=0.25),LEFT(L340,1)&lt;&gt;"-"),"3 SCALE","4 MAINTAIN"))</f>
        <v>4 MAINTAIN</v>
      </c>
      <c r="R340" s="14" t="n">
        <f aca="false">IF(M340&lt;1000,0,N340/M340-1)</f>
        <v>-0.333333333333333</v>
      </c>
    </row>
    <row r="341" customFormat="false" ht="15" hidden="false" customHeight="false" outlineLevel="0" collapsed="false">
      <c r="A341" s="25" t="n">
        <f aca="false">ROW()-5</f>
        <v>336</v>
      </c>
      <c r="B341" s="4" t="s">
        <v>841</v>
      </c>
      <c r="C341" s="4" t="s">
        <v>842</v>
      </c>
      <c r="D341" s="4" t="s">
        <v>83</v>
      </c>
      <c r="E341" s="4" t="s">
        <v>156</v>
      </c>
      <c r="F341" s="16" t="n">
        <v>1274.10714285714</v>
      </c>
      <c r="G341" s="14" t="n">
        <f aca="false">IF(SUMIFS(F$6:F$473,D$6:D$473,D341,E$6:E$473,E341)=0,0,F341/SUMIFS(F$6:F$473,D$6:D$473,D341,E$6:E$473,E341))</f>
        <v>0.0384708705146524</v>
      </c>
      <c r="H341" s="5" t="n">
        <f aca="false">SUMIFS(Pareto_Categories!$G$6:$G$84,Pareto_Categories!$B$6:$B$84,D341,Pareto_Categories!$C$6:$C$84,E341)</f>
        <v>1.00612895078728</v>
      </c>
      <c r="I341" s="28" t="n">
        <f aca="false">G341*H341</f>
        <v>0.0387066565867804</v>
      </c>
      <c r="J341" s="29" t="n">
        <f aca="false">I341/$I$475</f>
        <v>3.3458394447598E-005</v>
      </c>
      <c r="K341" s="14" t="n">
        <f aca="false">SUM(J$6:J341)</f>
        <v>0.976400413935814</v>
      </c>
      <c r="L341" s="4" t="str">
        <f aca="false">IF(I341&lt;=0,"-",IF(K341-J341&lt;0.8,"A - top 80%",IF(K341-J341&lt;0.95,"B - next 15%","C - tail")))</f>
        <v>C - tail</v>
      </c>
      <c r="M341" s="16" t="n">
        <v>15289.2857142857</v>
      </c>
      <c r="N341" s="16" t="n">
        <v>6370.53571428571</v>
      </c>
      <c r="O341" s="17" t="n">
        <f aca="false">N341-M341</f>
        <v>-8918.75</v>
      </c>
      <c r="P341" s="14" t="n">
        <f aca="false">IF(M341&lt;1000,"new",R341)</f>
        <v>-0.583333333333333</v>
      </c>
      <c r="Q341" s="4" t="str">
        <f aca="false">IF(LEFT(L341,1)="A",IF(R341&lt;-0.05,"2 FIX","1 PROTECT"),IF(AND(N341&gt;=300000,OR(P341="new",R341&gt;=0.25),LEFT(L341,1)&lt;&gt;"-"),"3 SCALE","4 MAINTAIN"))</f>
        <v>4 MAINTAIN</v>
      </c>
      <c r="R341" s="14" t="n">
        <f aca="false">IF(M341&lt;1000,0,N341/M341-1)</f>
        <v>-0.583333333333333</v>
      </c>
    </row>
    <row r="342" customFormat="false" ht="15" hidden="false" customHeight="false" outlineLevel="0" collapsed="false">
      <c r="A342" s="25" t="n">
        <f aca="false">ROW()-5</f>
        <v>337</v>
      </c>
      <c r="B342" s="4" t="s">
        <v>502</v>
      </c>
      <c r="C342" s="4" t="s">
        <v>503</v>
      </c>
      <c r="D342" s="4" t="s">
        <v>83</v>
      </c>
      <c r="E342" s="4" t="s">
        <v>228</v>
      </c>
      <c r="F342" s="16" t="n">
        <v>15794.6428571429</v>
      </c>
      <c r="G342" s="14" t="n">
        <f aca="false">IF(SUMIFS(F$6:F$473,D$6:D$473,D342,E$6:E$473,E342)=0,0,F342/SUMIFS(F$6:F$473,D$6:D$473,D342,E$6:E$473,E342))</f>
        <v>0.553816292029303</v>
      </c>
      <c r="H342" s="5" t="n">
        <f aca="false">SUMIFS(Pareto_Categories!$G$6:$G$84,Pareto_Categories!$B$6:$B$84,D342,Pareto_Categories!$C$6:$C$84,E342)</f>
        <v>0.0690396942328583</v>
      </c>
      <c r="I342" s="28" t="n">
        <f aca="false">G342*H342</f>
        <v>0.0382353074628784</v>
      </c>
      <c r="J342" s="29" t="n">
        <f aca="false">I342/$I$475</f>
        <v>3.30509558749927E-005</v>
      </c>
      <c r="K342" s="14" t="n">
        <f aca="false">SUM(J$6:J342)</f>
        <v>0.976433464891689</v>
      </c>
      <c r="L342" s="4" t="str">
        <f aca="false">IF(I342&lt;=0,"-",IF(K342-J342&lt;0.8,"A - top 80%",IF(K342-J342&lt;0.95,"B - next 15%","C - tail")))</f>
        <v>C - tail</v>
      </c>
      <c r="M342" s="16" t="n">
        <v>67885.7142857143</v>
      </c>
      <c r="N342" s="16" t="n">
        <v>59386.6071428571</v>
      </c>
      <c r="O342" s="17" t="n">
        <f aca="false">N342-M342</f>
        <v>-8499.10714285715</v>
      </c>
      <c r="P342" s="14" t="n">
        <f aca="false">IF(M342&lt;1000,"new",R342)</f>
        <v>-0.125197285353535</v>
      </c>
      <c r="Q342" s="4" t="str">
        <f aca="false">IF(LEFT(L342,1)="A",IF(R342&lt;-0.05,"2 FIX","1 PROTECT"),IF(AND(N342&gt;=300000,OR(P342="new",R342&gt;=0.25),LEFT(L342,1)&lt;&gt;"-"),"3 SCALE","4 MAINTAIN"))</f>
        <v>4 MAINTAIN</v>
      </c>
      <c r="R342" s="14" t="n">
        <f aca="false">IF(M342&lt;1000,0,N342/M342-1)</f>
        <v>-0.125197285353535</v>
      </c>
    </row>
    <row r="343" customFormat="false" ht="15" hidden="false" customHeight="false" outlineLevel="0" collapsed="false">
      <c r="A343" s="25" t="n">
        <f aca="false">ROW()-5</f>
        <v>338</v>
      </c>
      <c r="B343" s="4" t="s">
        <v>843</v>
      </c>
      <c r="C343" s="4" t="s">
        <v>844</v>
      </c>
      <c r="D343" s="4" t="s">
        <v>83</v>
      </c>
      <c r="E343" s="4" t="s">
        <v>159</v>
      </c>
      <c r="F343" s="16" t="n">
        <v>7267.85714285714</v>
      </c>
      <c r="G343" s="14" t="n">
        <f aca="false">IF(SUMIFS(F$6:F$473,D$6:D$473,D343,E$6:E$473,E343)=0,0,F343/SUMIFS(F$6:F$473,D$6:D$473,D343,E$6:E$473,E343))</f>
        <v>0.795077163508498</v>
      </c>
      <c r="H343" s="5" t="n">
        <f aca="false">SUMIFS(Pareto_Categories!$G$6:$G$84,Pareto_Categories!$B$6:$B$84,D343,Pareto_Categories!$C$6:$C$84,E343)</f>
        <v>0.0478333615708872</v>
      </c>
      <c r="I343" s="28" t="n">
        <f aca="false">G343*H343</f>
        <v>0.0380312134388574</v>
      </c>
      <c r="J343" s="29" t="n">
        <f aca="false">I343/$I$475</f>
        <v>3.28745350998017E-005</v>
      </c>
      <c r="K343" s="14" t="n">
        <f aca="false">SUM(J$6:J343)</f>
        <v>0.976466339426789</v>
      </c>
      <c r="L343" s="4" t="str">
        <f aca="false">IF(I343&lt;=0,"-",IF(K343-J343&lt;0.8,"A - top 80%",IF(K343-J343&lt;0.95,"B - next 15%","C - tail")))</f>
        <v>C - tail</v>
      </c>
      <c r="M343" s="16" t="n">
        <v>17442.8571428571</v>
      </c>
      <c r="N343" s="16" t="n">
        <v>14535.7142857143</v>
      </c>
      <c r="O343" s="17" t="n">
        <f aca="false">N343-M343</f>
        <v>-2907.14285714286</v>
      </c>
      <c r="P343" s="14" t="n">
        <f aca="false">IF(M343&lt;1000,"new",R343)</f>
        <v>-0.166666666666667</v>
      </c>
      <c r="Q343" s="4" t="str">
        <f aca="false">IF(LEFT(L343,1)="A",IF(R343&lt;-0.05,"2 FIX","1 PROTECT"),IF(AND(N343&gt;=300000,OR(P343="new",R343&gt;=0.25),LEFT(L343,1)&lt;&gt;"-"),"3 SCALE","4 MAINTAIN"))</f>
        <v>4 MAINTAIN</v>
      </c>
      <c r="R343" s="14" t="n">
        <f aca="false">IF(M343&lt;1000,0,N343/M343-1)</f>
        <v>-0.166666666666667</v>
      </c>
    </row>
    <row r="344" customFormat="false" ht="15" hidden="false" customHeight="false" outlineLevel="0" collapsed="false">
      <c r="A344" s="25" t="n">
        <f aca="false">ROW()-5</f>
        <v>339</v>
      </c>
      <c r="B344" s="4" t="s">
        <v>845</v>
      </c>
      <c r="C344" s="4" t="s">
        <v>846</v>
      </c>
      <c r="D344" s="4" t="s">
        <v>78</v>
      </c>
      <c r="E344" s="4" t="s">
        <v>171</v>
      </c>
      <c r="F344" s="16" t="n">
        <v>12803.5714285714</v>
      </c>
      <c r="G344" s="14" t="n">
        <f aca="false">IF(SUMIFS(F$6:F$473,D$6:D$473,D344,E$6:E$473,E344)=0,0,F344/SUMIFS(F$6:F$473,D$6:D$473,D344,E$6:E$473,E344))</f>
        <v>0.020806920224962</v>
      </c>
      <c r="H344" s="5" t="n">
        <f aca="false">SUMIFS(Pareto_Categories!$G$6:$G$84,Pareto_Categories!$B$6:$B$84,D344,Pareto_Categories!$C$6:$C$84,E344)</f>
        <v>1.80666823968793</v>
      </c>
      <c r="I344" s="28" t="n">
        <f aca="false">G344*H344</f>
        <v>0.0375912019361593</v>
      </c>
      <c r="J344" s="29" t="n">
        <f aca="false">I344/$I$475</f>
        <v>3.24941850588276E-005</v>
      </c>
      <c r="K344" s="14" t="n">
        <f aca="false">SUM(J$6:J344)</f>
        <v>0.976498833611847</v>
      </c>
      <c r="L344" s="4" t="str">
        <f aca="false">IF(I344&lt;=0,"-",IF(K344-J344&lt;0.8,"A - top 80%",IF(K344-J344&lt;0.95,"B - next 15%","C - tail")))</f>
        <v>C - tail</v>
      </c>
      <c r="M344" s="16" t="n">
        <v>28232.1428571429</v>
      </c>
      <c r="N344" s="16" t="n">
        <v>27950.8928571429</v>
      </c>
      <c r="O344" s="17" t="n">
        <f aca="false">N344-M344</f>
        <v>-281.25</v>
      </c>
      <c r="P344" s="14" t="n">
        <f aca="false">IF(M344&lt;1000,"new",R344)</f>
        <v>-0.00996204933586342</v>
      </c>
      <c r="Q344" s="4" t="str">
        <f aca="false">IF(LEFT(L344,1)="A",IF(R344&lt;-0.05,"2 FIX","1 PROTECT"),IF(AND(N344&gt;=300000,OR(P344="new",R344&gt;=0.25),LEFT(L344,1)&lt;&gt;"-"),"3 SCALE","4 MAINTAIN"))</f>
        <v>4 MAINTAIN</v>
      </c>
      <c r="R344" s="14" t="n">
        <f aca="false">IF(M344&lt;1000,0,N344/M344-1)</f>
        <v>-0.00996204933586342</v>
      </c>
    </row>
    <row r="345" customFormat="false" ht="15" hidden="false" customHeight="false" outlineLevel="0" collapsed="false">
      <c r="A345" s="25" t="n">
        <f aca="false">ROW()-5</f>
        <v>340</v>
      </c>
      <c r="B345" s="4" t="s">
        <v>847</v>
      </c>
      <c r="C345" s="4" t="s">
        <v>848</v>
      </c>
      <c r="D345" s="4" t="s">
        <v>78</v>
      </c>
      <c r="E345" s="4" t="s">
        <v>167</v>
      </c>
      <c r="F345" s="16" t="n">
        <v>9171.42857142857</v>
      </c>
      <c r="G345" s="14" t="n">
        <f aca="false">IF(SUMIFS(F$6:F$473,D$6:D$473,D345,E$6:E$473,E345)=0,0,F345/SUMIFS(F$6:F$473,D$6:D$473,D345,E$6:E$473,E345))</f>
        <v>0.00674321617485391</v>
      </c>
      <c r="H345" s="5" t="n">
        <f aca="false">SUMIFS(Pareto_Categories!$G$6:$G$84,Pareto_Categories!$B$6:$B$84,D345,Pareto_Categories!$C$6:$C$84,E345)</f>
        <v>5.01387386744405</v>
      </c>
      <c r="I345" s="28" t="n">
        <f aca="false">G345*H345</f>
        <v>0.033809635361626</v>
      </c>
      <c r="J345" s="29" t="n">
        <f aca="false">I345/$I$475</f>
        <v>2.92253636922258E-005</v>
      </c>
      <c r="K345" s="14" t="n">
        <f aca="false">SUM(J$6:J345)</f>
        <v>0.97652805897554</v>
      </c>
      <c r="L345" s="4" t="str">
        <f aca="false">IF(I345&lt;=0,"-",IF(K345-J345&lt;0.8,"A - top 80%",IF(K345-J345&lt;0.95,"B - next 15%","C - tail")))</f>
        <v>C - tail</v>
      </c>
      <c r="M345" s="16" t="n">
        <v>24413.3928571429</v>
      </c>
      <c r="N345" s="16" t="n">
        <v>18550</v>
      </c>
      <c r="O345" s="17" t="n">
        <f aca="false">N345-M345</f>
        <v>-5863.39285714286</v>
      </c>
      <c r="P345" s="14" t="n">
        <f aca="false">IF(M345&lt;1000,"new",R345)</f>
        <v>-0.240171158980361</v>
      </c>
      <c r="Q345" s="4" t="str">
        <f aca="false">IF(LEFT(L345,1)="A",IF(R345&lt;-0.05,"2 FIX","1 PROTECT"),IF(AND(N345&gt;=300000,OR(P345="new",R345&gt;=0.25),LEFT(L345,1)&lt;&gt;"-"),"3 SCALE","4 MAINTAIN"))</f>
        <v>4 MAINTAIN</v>
      </c>
      <c r="R345" s="14" t="n">
        <f aca="false">IF(M345&lt;1000,0,N345/M345-1)</f>
        <v>-0.240171158980361</v>
      </c>
    </row>
    <row r="346" customFormat="false" ht="15" hidden="false" customHeight="false" outlineLevel="0" collapsed="false">
      <c r="A346" s="25" t="n">
        <f aca="false">ROW()-5</f>
        <v>341</v>
      </c>
      <c r="B346" s="4" t="s">
        <v>849</v>
      </c>
      <c r="C346" s="4" t="s">
        <v>850</v>
      </c>
      <c r="D346" s="4" t="s">
        <v>83</v>
      </c>
      <c r="E346" s="4" t="s">
        <v>226</v>
      </c>
      <c r="F346" s="16" t="n">
        <v>6785.71428571429</v>
      </c>
      <c r="G346" s="14" t="n">
        <f aca="false">IF(SUMIFS(F$6:F$473,D$6:D$473,D346,E$6:E$473,E346)=0,0,F346/SUMIFS(F$6:F$473,D$6:D$473,D346,E$6:E$473,E346))</f>
        <v>0.0470821459546525</v>
      </c>
      <c r="H346" s="5" t="n">
        <f aca="false">SUMIFS(Pareto_Categories!$G$6:$G$84,Pareto_Categories!$B$6:$B$84,D346,Pareto_Categories!$C$6:$C$84,E346)</f>
        <v>0.702899355173986</v>
      </c>
      <c r="I346" s="28" t="n">
        <f aca="false">G346*H346</f>
        <v>0.0330940100317327</v>
      </c>
      <c r="J346" s="29" t="n">
        <f aca="false">I346/$I$475</f>
        <v>2.8606770492098E-005</v>
      </c>
      <c r="K346" s="14" t="n">
        <f aca="false">SUM(J$6:J346)</f>
        <v>0.976556665746032</v>
      </c>
      <c r="L346" s="4" t="str">
        <f aca="false">IF(I346&lt;=0,"-",IF(K346-J346&lt;0.8,"A - top 80%",IF(K346-J346&lt;0.95,"B - next 15%","C - tail")))</f>
        <v>C - tail</v>
      </c>
      <c r="M346" s="16" t="n">
        <v>9500</v>
      </c>
      <c r="N346" s="16" t="n">
        <v>10857.1428571429</v>
      </c>
      <c r="O346" s="17" t="n">
        <f aca="false">N346-M346</f>
        <v>1357.14285714286</v>
      </c>
      <c r="P346" s="14" t="n">
        <f aca="false">IF(M346&lt;1000,"new",R346)</f>
        <v>0.142857142857143</v>
      </c>
      <c r="Q346" s="4" t="str">
        <f aca="false">IF(LEFT(L346,1)="A",IF(R346&lt;-0.05,"2 FIX","1 PROTECT"),IF(AND(N346&gt;=300000,OR(P346="new",R346&gt;=0.25),LEFT(L346,1)&lt;&gt;"-"),"3 SCALE","4 MAINTAIN"))</f>
        <v>4 MAINTAIN</v>
      </c>
      <c r="R346" s="14" t="n">
        <f aca="false">IF(M346&lt;1000,0,N346/M346-1)</f>
        <v>0.142857142857143</v>
      </c>
    </row>
    <row r="347" customFormat="false" ht="15" hidden="false" customHeight="false" outlineLevel="0" collapsed="false">
      <c r="A347" s="25" t="n">
        <f aca="false">ROW()-5</f>
        <v>342</v>
      </c>
      <c r="B347" s="4" t="s">
        <v>851</v>
      </c>
      <c r="C347" s="4" t="s">
        <v>852</v>
      </c>
      <c r="D347" s="4" t="s">
        <v>78</v>
      </c>
      <c r="E347" s="4" t="s">
        <v>166</v>
      </c>
      <c r="F347" s="16" t="n">
        <v>7875</v>
      </c>
      <c r="G347" s="14" t="n">
        <f aca="false">IF(SUMIFS(F$6:F$473,D$6:D$473,D347,E$6:E$473,E347)=0,0,F347/SUMIFS(F$6:F$473,D$6:D$473,D347,E$6:E$473,E347))</f>
        <v>0.0023203074587325</v>
      </c>
      <c r="H347" s="5" t="n">
        <f aca="false">SUMIFS(Pareto_Categories!$G$6:$G$84,Pareto_Categories!$B$6:$B$84,D347,Pareto_Categories!$C$6:$C$84,E347)</f>
        <v>13.503490691206</v>
      </c>
      <c r="I347" s="28" t="n">
        <f aca="false">G347*H347</f>
        <v>0.0313322501697301</v>
      </c>
      <c r="J347" s="29" t="n">
        <f aca="false">I347/$I$475</f>
        <v>2.70838888592534E-005</v>
      </c>
      <c r="K347" s="14" t="n">
        <f aca="false">SUM(J$6:J347)</f>
        <v>0.976583749634891</v>
      </c>
      <c r="L347" s="4" t="str">
        <f aca="false">IF(I347&lt;=0,"-",IF(K347-J347&lt;0.8,"A - top 80%",IF(K347-J347&lt;0.95,"B - next 15%","C - tail")))</f>
        <v>C - tail</v>
      </c>
      <c r="M347" s="16" t="n">
        <v>0</v>
      </c>
      <c r="N347" s="16" t="n">
        <v>7875</v>
      </c>
      <c r="O347" s="17" t="n">
        <f aca="false">N347-M347</f>
        <v>7875</v>
      </c>
      <c r="P347" s="14" t="str">
        <f aca="false">IF(M347&lt;1000,"new",R347)</f>
        <v>new</v>
      </c>
      <c r="Q347" s="4" t="str">
        <f aca="false">IF(LEFT(L347,1)="A",IF(R347&lt;-0.05,"2 FIX","1 PROTECT"),IF(AND(N347&gt;=300000,OR(P347="new",R347&gt;=0.25),LEFT(L347,1)&lt;&gt;"-"),"3 SCALE","4 MAINTAIN"))</f>
        <v>4 MAINTAIN</v>
      </c>
      <c r="R347" s="14" t="n">
        <f aca="false">IF(M347&lt;1000,0,N347/M347-1)</f>
        <v>0</v>
      </c>
    </row>
    <row r="348" customFormat="false" ht="15" hidden="false" customHeight="false" outlineLevel="0" collapsed="false">
      <c r="A348" s="25" t="n">
        <f aca="false">ROW()-5</f>
        <v>343</v>
      </c>
      <c r="B348" s="4" t="s">
        <v>853</v>
      </c>
      <c r="C348" s="4" t="s">
        <v>854</v>
      </c>
      <c r="D348" s="4" t="s">
        <v>78</v>
      </c>
      <c r="E348" s="4" t="s">
        <v>171</v>
      </c>
      <c r="F348" s="16" t="n">
        <v>10598.2142857143</v>
      </c>
      <c r="G348" s="14" t="n">
        <f aca="false">IF(SUMIFS(F$6:F$473,D$6:D$473,D348,E$6:E$473,E348)=0,0,F348/SUMIFS(F$6:F$473,D$6:D$473,D348,E$6:E$473,E348))</f>
        <v>0.0172230225293095</v>
      </c>
      <c r="H348" s="5" t="n">
        <f aca="false">SUMIFS(Pareto_Categories!$G$6:$G$84,Pareto_Categories!$B$6:$B$84,D348,Pareto_Categories!$C$6:$C$84,E348)</f>
        <v>1.80666823968793</v>
      </c>
      <c r="I348" s="28" t="n">
        <f aca="false">G348*H348</f>
        <v>0.0311162877951332</v>
      </c>
      <c r="J348" s="29" t="n">
        <f aca="false">I348/$I$475</f>
        <v>2.68972089712889E-005</v>
      </c>
      <c r="K348" s="14" t="n">
        <f aca="false">SUM(J$6:J348)</f>
        <v>0.976610646843862</v>
      </c>
      <c r="L348" s="4" t="str">
        <f aca="false">IF(I348&lt;=0,"-",IF(K348-J348&lt;0.8,"A - top 80%",IF(K348-J348&lt;0.95,"B - next 15%","C - tail")))</f>
        <v>C - tail</v>
      </c>
      <c r="M348" s="16" t="n">
        <v>14464.2857142857</v>
      </c>
      <c r="N348" s="16" t="n">
        <v>13633.9285714286</v>
      </c>
      <c r="O348" s="17" t="n">
        <f aca="false">N348-M348</f>
        <v>-830.35714285714</v>
      </c>
      <c r="P348" s="14" t="n">
        <f aca="false">IF(M348&lt;1000,"new",R348)</f>
        <v>-0.0574074074074072</v>
      </c>
      <c r="Q348" s="4" t="str">
        <f aca="false">IF(LEFT(L348,1)="A",IF(R348&lt;-0.05,"2 FIX","1 PROTECT"),IF(AND(N348&gt;=300000,OR(P348="new",R348&gt;=0.25),LEFT(L348,1)&lt;&gt;"-"),"3 SCALE","4 MAINTAIN"))</f>
        <v>4 MAINTAIN</v>
      </c>
      <c r="R348" s="14" t="n">
        <f aca="false">IF(M348&lt;1000,0,N348/M348-1)</f>
        <v>-0.0574074074074072</v>
      </c>
    </row>
    <row r="349" customFormat="false" ht="15" hidden="false" customHeight="false" outlineLevel="0" collapsed="false">
      <c r="A349" s="25" t="n">
        <f aca="false">ROW()-5</f>
        <v>344</v>
      </c>
      <c r="B349" s="4" t="s">
        <v>274</v>
      </c>
      <c r="C349" s="4" t="s">
        <v>275</v>
      </c>
      <c r="D349" s="4" t="s">
        <v>83</v>
      </c>
      <c r="E349" s="4" t="s">
        <v>227</v>
      </c>
      <c r="F349" s="16" t="n">
        <v>5393923.21428571</v>
      </c>
      <c r="G349" s="14" t="n">
        <f aca="false">IF(SUMIFS(F$6:F$473,D$6:D$473,D349,E$6:E$473,E349)=0,0,F349/SUMIFS(F$6:F$473,D$6:D$473,D349,E$6:E$473,E349))</f>
        <v>0.32902911424732</v>
      </c>
      <c r="H349" s="5" t="n">
        <f aca="false">SUMIFS(Pareto_Categories!$G$6:$G$84,Pareto_Categories!$B$6:$B$84,D349,Pareto_Categories!$C$6:$C$84,E349)</f>
        <v>0.0907491325725196</v>
      </c>
      <c r="I349" s="28" t="n">
        <f aca="false">G349*H349</f>
        <v>0.0298591067090488</v>
      </c>
      <c r="J349" s="29" t="n">
        <f aca="false">I349/$I$475</f>
        <v>2.58104899317364E-005</v>
      </c>
      <c r="K349" s="14" t="n">
        <f aca="false">SUM(J$6:J349)</f>
        <v>0.976636457333794</v>
      </c>
      <c r="L349" s="4" t="str">
        <f aca="false">IF(I349&lt;=0,"-",IF(K349-J349&lt;0.8,"A - top 80%",IF(K349-J349&lt;0.95,"B - next 15%","C - tail")))</f>
        <v>C - tail</v>
      </c>
      <c r="M349" s="16" t="n">
        <v>11492958.9285714</v>
      </c>
      <c r="N349" s="16" t="n">
        <v>11262881.25</v>
      </c>
      <c r="O349" s="17" t="n">
        <f aca="false">N349-M349</f>
        <v>-230077.678571429</v>
      </c>
      <c r="P349" s="14" t="n">
        <f aca="false">IF(M349&lt;1000,"new",R349)</f>
        <v>-0.0200190116402015</v>
      </c>
      <c r="Q349" s="4" t="str">
        <f aca="false">IF(LEFT(L349,1)="A",IF(R349&lt;-0.05,"2 FIX","1 PROTECT"),IF(AND(N349&gt;=300000,OR(P349="new",R349&gt;=0.25),LEFT(L349,1)&lt;&gt;"-"),"3 SCALE","4 MAINTAIN"))</f>
        <v>4 MAINTAIN</v>
      </c>
      <c r="R349" s="14" t="n">
        <f aca="false">IF(M349&lt;1000,0,N349/M349-1)</f>
        <v>-0.0200190116402015</v>
      </c>
    </row>
    <row r="350" customFormat="false" ht="15" hidden="false" customHeight="false" outlineLevel="0" collapsed="false">
      <c r="A350" s="25" t="n">
        <f aca="false">ROW()-5</f>
        <v>345</v>
      </c>
      <c r="B350" s="4" t="s">
        <v>855</v>
      </c>
      <c r="C350" s="4" t="s">
        <v>856</v>
      </c>
      <c r="D350" s="4" t="s">
        <v>78</v>
      </c>
      <c r="E350" s="4" t="s">
        <v>170</v>
      </c>
      <c r="F350" s="16" t="n">
        <v>10071.4285714286</v>
      </c>
      <c r="G350" s="14" t="n">
        <f aca="false">IF(SUMIFS(F$6:F$473,D$6:D$473,D350,E$6:E$473,E350)=0,0,F350/SUMIFS(F$6:F$473,D$6:D$473,D350,E$6:E$473,E350))</f>
        <v>0.0132527916071481</v>
      </c>
      <c r="H350" s="5" t="n">
        <f aca="false">SUMIFS(Pareto_Categories!$G$6:$G$84,Pareto_Categories!$B$6:$B$84,D350,Pareto_Categories!$C$6:$C$84,E350)</f>
        <v>2.21636597325937</v>
      </c>
      <c r="I350" s="28" t="n">
        <f aca="false">G350*H350</f>
        <v>0.0293730363687803</v>
      </c>
      <c r="J350" s="29" t="n">
        <f aca="false">I350/$I$475</f>
        <v>2.5390326202598E-005</v>
      </c>
      <c r="K350" s="14" t="n">
        <f aca="false">SUM(J$6:J350)</f>
        <v>0.976661847659997</v>
      </c>
      <c r="L350" s="4" t="str">
        <f aca="false">IF(I350&lt;=0,"-",IF(K350-J350&lt;0.8,"A - top 80%",IF(K350-J350&lt;0.95,"B - next 15%","C - tail")))</f>
        <v>C - tail</v>
      </c>
      <c r="M350" s="16" t="n">
        <v>22017.8571428571</v>
      </c>
      <c r="N350" s="16" t="n">
        <v>20223.2142857143</v>
      </c>
      <c r="O350" s="17" t="n">
        <f aca="false">N350-M350</f>
        <v>-1794.64285714286</v>
      </c>
      <c r="P350" s="14" t="n">
        <f aca="false">IF(M350&lt;1000,"new",R350)</f>
        <v>-0.0815085158150855</v>
      </c>
      <c r="Q350" s="4" t="str">
        <f aca="false">IF(LEFT(L350,1)="A",IF(R350&lt;-0.05,"2 FIX","1 PROTECT"),IF(AND(N350&gt;=300000,OR(P350="new",R350&gt;=0.25),LEFT(L350,1)&lt;&gt;"-"),"3 SCALE","4 MAINTAIN"))</f>
        <v>4 MAINTAIN</v>
      </c>
      <c r="R350" s="14" t="n">
        <f aca="false">IF(M350&lt;1000,0,N350/M350-1)</f>
        <v>-0.0815085158150855</v>
      </c>
    </row>
    <row r="351" customFormat="false" ht="15" hidden="false" customHeight="false" outlineLevel="0" collapsed="false">
      <c r="A351" s="25" t="n">
        <f aca="false">ROW()-5</f>
        <v>346</v>
      </c>
      <c r="B351" s="4" t="s">
        <v>474</v>
      </c>
      <c r="C351" s="4" t="s">
        <v>475</v>
      </c>
      <c r="D351" s="4" t="s">
        <v>83</v>
      </c>
      <c r="E351" s="4" t="s">
        <v>228</v>
      </c>
      <c r="F351" s="16" t="n">
        <v>12003.5714285714</v>
      </c>
      <c r="G351" s="14" t="n">
        <f aca="false">IF(SUMIFS(F$6:F$473,D$6:D$473,D351,E$6:E$473,E351)=0,0,F351/SUMIFS(F$6:F$473,D$6:D$473,D351,E$6:E$473,E351))</f>
        <v>0.420887859244881</v>
      </c>
      <c r="H351" s="5" t="n">
        <f aca="false">SUMIFS(Pareto_Categories!$G$6:$G$84,Pareto_Categories!$B$6:$B$84,D351,Pareto_Categories!$C$6:$C$84,E351)</f>
        <v>0.0690396942328583</v>
      </c>
      <c r="I351" s="28" t="n">
        <f aca="false">G351*H351</f>
        <v>0.0290579691085889</v>
      </c>
      <c r="J351" s="29" t="n">
        <f aca="false">I351/$I$475</f>
        <v>2.51179791285134E-005</v>
      </c>
      <c r="K351" s="14" t="n">
        <f aca="false">SUM(J$6:J351)</f>
        <v>0.976686965639125</v>
      </c>
      <c r="L351" s="4" t="str">
        <f aca="false">IF(I351&lt;=0,"-",IF(K351-J351&lt;0.8,"A - top 80%",IF(K351-J351&lt;0.95,"B - next 15%","C - tail")))</f>
        <v>C - tail</v>
      </c>
      <c r="M351" s="16" t="n">
        <v>144968.75</v>
      </c>
      <c r="N351" s="16" t="n">
        <v>72655.3571428571</v>
      </c>
      <c r="O351" s="17" t="n">
        <f aca="false">N351-M351</f>
        <v>-72313.3928571429</v>
      </c>
      <c r="P351" s="14" t="n">
        <f aca="false">IF(M351&lt;1000,"new",R351)</f>
        <v>-0.498820558617929</v>
      </c>
      <c r="Q351" s="4" t="str">
        <f aca="false">IF(LEFT(L351,1)="A",IF(R351&lt;-0.05,"2 FIX","1 PROTECT"),IF(AND(N351&gt;=300000,OR(P351="new",R351&gt;=0.25),LEFT(L351,1)&lt;&gt;"-"),"3 SCALE","4 MAINTAIN"))</f>
        <v>4 MAINTAIN</v>
      </c>
      <c r="R351" s="14" t="n">
        <f aca="false">IF(M351&lt;1000,0,N351/M351-1)</f>
        <v>-0.498820558617929</v>
      </c>
    </row>
    <row r="352" customFormat="false" ht="15" hidden="false" customHeight="false" outlineLevel="0" collapsed="false">
      <c r="A352" s="25" t="n">
        <f aca="false">ROW()-5</f>
        <v>347</v>
      </c>
      <c r="B352" s="4" t="s">
        <v>857</v>
      </c>
      <c r="C352" s="4" t="s">
        <v>858</v>
      </c>
      <c r="D352" s="4" t="s">
        <v>78</v>
      </c>
      <c r="E352" s="4" t="s">
        <v>169</v>
      </c>
      <c r="F352" s="16" t="n">
        <v>6200</v>
      </c>
      <c r="G352" s="14" t="n">
        <f aca="false">IF(SUMIFS(F$6:F$473,D$6:D$473,D352,E$6:E$473,E352)=0,0,F352/SUMIFS(F$6:F$473,D$6:D$473,D352,E$6:E$473,E352))</f>
        <v>0.00569921693218966</v>
      </c>
      <c r="H352" s="5" t="n">
        <f aca="false">SUMIFS(Pareto_Categories!$G$6:$G$84,Pareto_Categories!$B$6:$B$84,D352,Pareto_Categories!$C$6:$C$84,E352)</f>
        <v>4.89526180272377</v>
      </c>
      <c r="I352" s="28" t="n">
        <f aca="false">G352*H352</f>
        <v>0.0278991589535846</v>
      </c>
      <c r="J352" s="29" t="n">
        <f aca="false">I352/$I$475</f>
        <v>2.41162928379631E-005</v>
      </c>
      <c r="K352" s="14" t="n">
        <f aca="false">SUM(J$6:J352)</f>
        <v>0.976711081931963</v>
      </c>
      <c r="L352" s="4" t="str">
        <f aca="false">IF(I352&lt;=0,"-",IF(K352-J352&lt;0.8,"A - top 80%",IF(K352-J352&lt;0.95,"B - next 15%","C - tail")))</f>
        <v>C - tail</v>
      </c>
      <c r="M352" s="16" t="n">
        <v>0</v>
      </c>
      <c r="N352" s="16" t="n">
        <v>6200</v>
      </c>
      <c r="O352" s="17" t="n">
        <f aca="false">N352-M352</f>
        <v>6200</v>
      </c>
      <c r="P352" s="14" t="str">
        <f aca="false">IF(M352&lt;1000,"new",R352)</f>
        <v>new</v>
      </c>
      <c r="Q352" s="4" t="str">
        <f aca="false">IF(LEFT(L352,1)="A",IF(R352&lt;-0.05,"2 FIX","1 PROTECT"),IF(AND(N352&gt;=300000,OR(P352="new",R352&gt;=0.25),LEFT(L352,1)&lt;&gt;"-"),"3 SCALE","4 MAINTAIN"))</f>
        <v>4 MAINTAIN</v>
      </c>
      <c r="R352" s="14" t="n">
        <f aca="false">IF(M352&lt;1000,0,N352/M352-1)</f>
        <v>0</v>
      </c>
    </row>
    <row r="353" customFormat="false" ht="15" hidden="false" customHeight="false" outlineLevel="0" collapsed="false">
      <c r="A353" s="25" t="n">
        <f aca="false">ROW()-5</f>
        <v>348</v>
      </c>
      <c r="B353" s="4" t="s">
        <v>859</v>
      </c>
      <c r="C353" s="4" t="s">
        <v>860</v>
      </c>
      <c r="D353" s="4" t="s">
        <v>78</v>
      </c>
      <c r="E353" s="4" t="s">
        <v>171</v>
      </c>
      <c r="F353" s="16" t="n">
        <v>9254.46428571428</v>
      </c>
      <c r="G353" s="14" t="n">
        <f aca="false">IF(SUMIFS(F$6:F$473,D$6:D$473,D353,E$6:E$473,E353)=0,0,F353/SUMIFS(F$6:F$473,D$6:D$473,D353,E$6:E$473,E353))</f>
        <v>0.0150393115851974</v>
      </c>
      <c r="H353" s="5" t="n">
        <f aca="false">SUMIFS(Pareto_Categories!$G$6:$G$84,Pareto_Categories!$B$6:$B$84,D353,Pareto_Categories!$C$6:$C$84,E353)</f>
        <v>1.80666823968793</v>
      </c>
      <c r="I353" s="28" t="n">
        <f aca="false">G353*H353</f>
        <v>0.0271710465877469</v>
      </c>
      <c r="J353" s="29" t="n">
        <f aca="false">I353/$I$475</f>
        <v>2.34869057276672E-005</v>
      </c>
      <c r="K353" s="14" t="n">
        <f aca="false">SUM(J$6:J353)</f>
        <v>0.976734568837691</v>
      </c>
      <c r="L353" s="4" t="str">
        <f aca="false">IF(I353&lt;=0,"-",IF(K353-J353&lt;0.8,"A - top 80%",IF(K353-J353&lt;0.95,"B - next 15%","C - tail")))</f>
        <v>C - tail</v>
      </c>
      <c r="M353" s="16" t="n">
        <v>14906.25</v>
      </c>
      <c r="N353" s="16" t="n">
        <v>19232.1428571429</v>
      </c>
      <c r="O353" s="17" t="n">
        <f aca="false">N353-M353</f>
        <v>4325.89285714286</v>
      </c>
      <c r="P353" s="14" t="n">
        <f aca="false">IF(M353&lt;1000,"new",R353)</f>
        <v>0.290206648697215</v>
      </c>
      <c r="Q353" s="4" t="str">
        <f aca="false">IF(LEFT(L353,1)="A",IF(R353&lt;-0.05,"2 FIX","1 PROTECT"),IF(AND(N353&gt;=300000,OR(P353="new",R353&gt;=0.25),LEFT(L353,1)&lt;&gt;"-"),"3 SCALE","4 MAINTAIN"))</f>
        <v>4 MAINTAIN</v>
      </c>
      <c r="R353" s="14" t="n">
        <f aca="false">IF(M353&lt;1000,0,N353/M353-1)</f>
        <v>0.290206648697215</v>
      </c>
    </row>
    <row r="354" customFormat="false" ht="15" hidden="false" customHeight="false" outlineLevel="0" collapsed="false">
      <c r="A354" s="25" t="n">
        <f aca="false">ROW()-5</f>
        <v>349</v>
      </c>
      <c r="B354" s="4" t="s">
        <v>861</v>
      </c>
      <c r="C354" s="4" t="s">
        <v>862</v>
      </c>
      <c r="D354" s="4" t="s">
        <v>78</v>
      </c>
      <c r="E354" s="4" t="s">
        <v>171</v>
      </c>
      <c r="F354" s="16" t="n">
        <v>8946.42857142857</v>
      </c>
      <c r="G354" s="14" t="n">
        <f aca="false">IF(SUMIFS(F$6:F$473,D$6:D$473,D354,E$6:E$473,E354)=0,0,F354/SUMIFS(F$6:F$473,D$6:D$473,D354,E$6:E$473,E354))</f>
        <v>0.0145387266843877</v>
      </c>
      <c r="H354" s="5" t="n">
        <f aca="false">SUMIFS(Pareto_Categories!$G$6:$G$84,Pareto_Categories!$B$6:$B$84,D354,Pareto_Categories!$C$6:$C$84,E354)</f>
        <v>1.80666823968793</v>
      </c>
      <c r="I354" s="28" t="n">
        <f aca="false">G354*H354</f>
        <v>0.0262666557461866</v>
      </c>
      <c r="J354" s="29" t="n">
        <f aca="false">I354/$I$475</f>
        <v>2.27051418611891E-005</v>
      </c>
      <c r="K354" s="14" t="n">
        <f aca="false">SUM(J$6:J354)</f>
        <v>0.976757273979552</v>
      </c>
      <c r="L354" s="4" t="str">
        <f aca="false">IF(I354&lt;=0,"-",IF(K354-J354&lt;0.8,"A - top 80%",IF(K354-J354&lt;0.95,"B - next 15%","C - tail")))</f>
        <v>C - tail</v>
      </c>
      <c r="M354" s="16" t="n">
        <v>12816.0714285714</v>
      </c>
      <c r="N354" s="16" t="n">
        <v>12525.8928571429</v>
      </c>
      <c r="O354" s="17" t="n">
        <f aca="false">N354-M354</f>
        <v>-290.178571428569</v>
      </c>
      <c r="P354" s="14" t="n">
        <f aca="false">IF(M354&lt;1000,"new",R354)</f>
        <v>-0.0226417723282707</v>
      </c>
      <c r="Q354" s="4" t="str">
        <f aca="false">IF(LEFT(L354,1)="A",IF(R354&lt;-0.05,"2 FIX","1 PROTECT"),IF(AND(N354&gt;=300000,OR(P354="new",R354&gt;=0.25),LEFT(L354,1)&lt;&gt;"-"),"3 SCALE","4 MAINTAIN"))</f>
        <v>4 MAINTAIN</v>
      </c>
      <c r="R354" s="14" t="n">
        <f aca="false">IF(M354&lt;1000,0,N354/M354-1)</f>
        <v>-0.0226417723282707</v>
      </c>
    </row>
    <row r="355" customFormat="false" ht="15" hidden="false" customHeight="false" outlineLevel="0" collapsed="false">
      <c r="A355" s="25" t="n">
        <f aca="false">ROW()-5</f>
        <v>350</v>
      </c>
      <c r="B355" s="4" t="s">
        <v>298</v>
      </c>
      <c r="C355" s="4" t="s">
        <v>299</v>
      </c>
      <c r="D355" s="4" t="s">
        <v>83</v>
      </c>
      <c r="E355" s="4" t="s">
        <v>191</v>
      </c>
      <c r="F355" s="16" t="n">
        <v>6226.78571428571</v>
      </c>
      <c r="G355" s="14" t="n">
        <f aca="false">IF(SUMIFS(F$6:F$473,D$6:D$473,D355,E$6:E$473,E355)=0,0,F355/SUMIFS(F$6:F$473,D$6:D$473,D355,E$6:E$473,E355))</f>
        <v>0.00567631955709406</v>
      </c>
      <c r="H355" s="5" t="n">
        <f aca="false">SUMIFS(Pareto_Categories!$G$6:$G$84,Pareto_Categories!$B$6:$B$84,D355,Pareto_Categories!$C$6:$C$84,E355)</f>
        <v>4.37626638897709</v>
      </c>
      <c r="I355" s="28" t="n">
        <f aca="false">G355*H355</f>
        <v>0.024841086490804</v>
      </c>
      <c r="J355" s="29" t="n">
        <f aca="false">I355/$I$475</f>
        <v>2.14728665198142E-005</v>
      </c>
      <c r="K355" s="14" t="n">
        <f aca="false">SUM(J$6:J355)</f>
        <v>0.976778746846072</v>
      </c>
      <c r="L355" s="4" t="str">
        <f aca="false">IF(I355&lt;=0,"-",IF(K355-J355&lt;0.8,"A - top 80%",IF(K355-J355&lt;0.95,"B - next 15%","C - tail")))</f>
        <v>C - tail</v>
      </c>
      <c r="M355" s="16" t="n">
        <v>22031.25</v>
      </c>
      <c r="N355" s="16" t="n">
        <v>24420.5357142857</v>
      </c>
      <c r="O355" s="17" t="n">
        <f aca="false">N355-M355</f>
        <v>2389.28571428571</v>
      </c>
      <c r="P355" s="14" t="n">
        <f aca="false">IF(M355&lt;1000,"new",R355)</f>
        <v>0.108449848024316</v>
      </c>
      <c r="Q355" s="4" t="str">
        <f aca="false">IF(LEFT(L355,1)="A",IF(R355&lt;-0.05,"2 FIX","1 PROTECT"),IF(AND(N355&gt;=300000,OR(P355="new",R355&gt;=0.25),LEFT(L355,1)&lt;&gt;"-"),"3 SCALE","4 MAINTAIN"))</f>
        <v>4 MAINTAIN</v>
      </c>
      <c r="R355" s="14" t="n">
        <f aca="false">IF(M355&lt;1000,0,N355/M355-1)</f>
        <v>0.108449848024316</v>
      </c>
    </row>
    <row r="356" customFormat="false" ht="15" hidden="false" customHeight="false" outlineLevel="0" collapsed="false">
      <c r="A356" s="25" t="n">
        <f aca="false">ROW()-5</f>
        <v>351</v>
      </c>
      <c r="B356" s="4" t="s">
        <v>863</v>
      </c>
      <c r="C356" s="4" t="s">
        <v>864</v>
      </c>
      <c r="D356" s="4" t="s">
        <v>83</v>
      </c>
      <c r="E356" s="4" t="s">
        <v>226</v>
      </c>
      <c r="F356" s="16" t="n">
        <v>5066.07142857143</v>
      </c>
      <c r="G356" s="14" t="n">
        <f aca="false">IF(SUMIFS(F$6:F$473,D$6:D$473,D356,E$6:E$473,E356)=0,0,F356/SUMIFS(F$6:F$473,D$6:D$473,D356,E$6:E$473,E356))</f>
        <v>0.0351505389666708</v>
      </c>
      <c r="H356" s="5" t="n">
        <f aca="false">SUMIFS(Pareto_Categories!$G$6:$G$84,Pareto_Categories!$B$6:$B$84,D356,Pareto_Categories!$C$6:$C$84,E356)</f>
        <v>0.702899355173986</v>
      </c>
      <c r="I356" s="28" t="n">
        <f aca="false">G356*H356</f>
        <v>0.024707291173691</v>
      </c>
      <c r="J356" s="29" t="n">
        <f aca="false">I356/$I$475</f>
        <v>2.13572126016005E-005</v>
      </c>
      <c r="K356" s="14" t="n">
        <f aca="false">SUM(J$6:J356)</f>
        <v>0.976800104058673</v>
      </c>
      <c r="L356" s="4" t="str">
        <f aca="false">IF(I356&lt;=0,"-",IF(K356-J356&lt;0.8,"A - top 80%",IF(K356-J356&lt;0.95,"B - next 15%","C - tail")))</f>
        <v>C - tail</v>
      </c>
      <c r="M356" s="16" t="n">
        <v>0</v>
      </c>
      <c r="N356" s="16" t="n">
        <v>5066.07142857143</v>
      </c>
      <c r="O356" s="17" t="n">
        <f aca="false">N356-M356</f>
        <v>5066.07142857143</v>
      </c>
      <c r="P356" s="14" t="str">
        <f aca="false">IF(M356&lt;1000,"new",R356)</f>
        <v>new</v>
      </c>
      <c r="Q356" s="4" t="str">
        <f aca="false">IF(LEFT(L356,1)="A",IF(R356&lt;-0.05,"2 FIX","1 PROTECT"),IF(AND(N356&gt;=300000,OR(P356="new",R356&gt;=0.25),LEFT(L356,1)&lt;&gt;"-"),"3 SCALE","4 MAINTAIN"))</f>
        <v>4 MAINTAIN</v>
      </c>
      <c r="R356" s="14" t="n">
        <f aca="false">IF(M356&lt;1000,0,N356/M356-1)</f>
        <v>0</v>
      </c>
    </row>
    <row r="357" customFormat="false" ht="15" hidden="false" customHeight="false" outlineLevel="0" collapsed="false">
      <c r="A357" s="25" t="n">
        <f aca="false">ROW()-5</f>
        <v>352</v>
      </c>
      <c r="B357" s="4" t="s">
        <v>865</v>
      </c>
      <c r="C357" s="4" t="s">
        <v>866</v>
      </c>
      <c r="D357" s="4" t="s">
        <v>83</v>
      </c>
      <c r="E357" s="4" t="s">
        <v>226</v>
      </c>
      <c r="F357" s="16" t="n">
        <v>4346.42857142857</v>
      </c>
      <c r="G357" s="14" t="n">
        <f aca="false">IF(SUMIFS(F$6:F$473,D$6:D$473,D357,E$6:E$473,E357)=0,0,F357/SUMIFS(F$6:F$473,D$6:D$473,D357,E$6:E$473,E357))</f>
        <v>0.0301573534877958</v>
      </c>
      <c r="H357" s="5" t="n">
        <f aca="false">SUMIFS(Pareto_Categories!$G$6:$G$84,Pareto_Categories!$B$6:$B$84,D357,Pareto_Categories!$C$6:$C$84,E357)</f>
        <v>0.702899355173986</v>
      </c>
      <c r="I357" s="28" t="n">
        <f aca="false">G357*H357</f>
        <v>0.0211975843203256</v>
      </c>
      <c r="J357" s="29" t="n">
        <f aca="false">I357/$I$475</f>
        <v>1.83233893099386E-005</v>
      </c>
      <c r="K357" s="14" t="n">
        <f aca="false">SUM(J$6:J357)</f>
        <v>0.976818427447983</v>
      </c>
      <c r="L357" s="4" t="str">
        <f aca="false">IF(I357&lt;=0,"-",IF(K357-J357&lt;0.8,"A - top 80%",IF(K357-J357&lt;0.95,"B - next 15%","C - tail")))</f>
        <v>C - tail</v>
      </c>
      <c r="M357" s="16" t="n">
        <v>8692.85714285714</v>
      </c>
      <c r="N357" s="16" t="n">
        <v>13039.2857142857</v>
      </c>
      <c r="O357" s="17" t="n">
        <f aca="false">N357-M357</f>
        <v>4346.42857142857</v>
      </c>
      <c r="P357" s="14" t="n">
        <f aca="false">IF(M357&lt;1000,"new",R357)</f>
        <v>0.5</v>
      </c>
      <c r="Q357" s="4" t="str">
        <f aca="false">IF(LEFT(L357,1)="A",IF(R357&lt;-0.05,"2 FIX","1 PROTECT"),IF(AND(N357&gt;=300000,OR(P357="new",R357&gt;=0.25),LEFT(L357,1)&lt;&gt;"-"),"3 SCALE","4 MAINTAIN"))</f>
        <v>4 MAINTAIN</v>
      </c>
      <c r="R357" s="14" t="n">
        <f aca="false">IF(M357&lt;1000,0,N357/M357-1)</f>
        <v>0.5</v>
      </c>
    </row>
    <row r="358" customFormat="false" ht="15" hidden="false" customHeight="false" outlineLevel="0" collapsed="false">
      <c r="A358" s="25" t="n">
        <f aca="false">ROW()-5</f>
        <v>353</v>
      </c>
      <c r="B358" s="4" t="s">
        <v>867</v>
      </c>
      <c r="C358" s="4" t="s">
        <v>868</v>
      </c>
      <c r="D358" s="4" t="s">
        <v>78</v>
      </c>
      <c r="E358" s="4" t="s">
        <v>170</v>
      </c>
      <c r="F358" s="16" t="n">
        <v>7178.57142857143</v>
      </c>
      <c r="G358" s="14" t="n">
        <f aca="false">IF(SUMIFS(F$6:F$473,D$6:D$473,D358,E$6:E$473,E358)=0,0,F358/SUMIFS(F$6:F$473,D$6:D$473,D358,E$6:E$473,E358))</f>
        <v>0.00944613869871192</v>
      </c>
      <c r="H358" s="5" t="n">
        <f aca="false">SUMIFS(Pareto_Categories!$G$6:$G$84,Pareto_Categories!$B$6:$B$84,D358,Pareto_Categories!$C$6:$C$84,E358)</f>
        <v>2.21636597325937</v>
      </c>
      <c r="I358" s="28" t="n">
        <f aca="false">G358*H358</f>
        <v>0.0209361003905136</v>
      </c>
      <c r="J358" s="29" t="n">
        <f aca="false">I358/$I$475</f>
        <v>1.80973601656816E-005</v>
      </c>
      <c r="K358" s="14" t="n">
        <f aca="false">SUM(J$6:J358)</f>
        <v>0.976836524808149</v>
      </c>
      <c r="L358" s="4" t="str">
        <f aca="false">IF(I358&lt;=0,"-",IF(K358-J358&lt;0.8,"A - top 80%",IF(K358-J358&lt;0.95,"B - next 15%","C - tail")))</f>
        <v>C - tail</v>
      </c>
      <c r="M358" s="16" t="n">
        <v>2721.42857142857</v>
      </c>
      <c r="N358" s="16" t="n">
        <v>8786.60714285714</v>
      </c>
      <c r="O358" s="17" t="n">
        <f aca="false">N358-M358</f>
        <v>6065.17857142857</v>
      </c>
      <c r="P358" s="14" t="n">
        <f aca="false">IF(M358&lt;1000,"new",R358)</f>
        <v>2.22867454068241</v>
      </c>
      <c r="Q358" s="4" t="str">
        <f aca="false">IF(LEFT(L358,1)="A",IF(R358&lt;-0.05,"2 FIX","1 PROTECT"),IF(AND(N358&gt;=300000,OR(P358="new",R358&gt;=0.25),LEFT(L358,1)&lt;&gt;"-"),"3 SCALE","4 MAINTAIN"))</f>
        <v>4 MAINTAIN</v>
      </c>
      <c r="R358" s="14" t="n">
        <f aca="false">IF(M358&lt;1000,0,N358/M358-1)</f>
        <v>2.22867454068241</v>
      </c>
    </row>
    <row r="359" customFormat="false" ht="15" hidden="false" customHeight="false" outlineLevel="0" collapsed="false">
      <c r="A359" s="25" t="n">
        <f aca="false">ROW()-5</f>
        <v>354</v>
      </c>
      <c r="B359" s="4" t="s">
        <v>869</v>
      </c>
      <c r="C359" s="4" t="s">
        <v>870</v>
      </c>
      <c r="D359" s="4" t="s">
        <v>83</v>
      </c>
      <c r="E359" s="4" t="s">
        <v>226</v>
      </c>
      <c r="F359" s="16" t="n">
        <v>4233.03571428571</v>
      </c>
      <c r="G359" s="14" t="n">
        <f aca="false">IF(SUMIFS(F$6:F$473,D$6:D$473,D359,E$6:E$473,E359)=0,0,F359/SUMIFS(F$6:F$473,D$6:D$473,D359,E$6:E$473,E359))</f>
        <v>0.0293705860488168</v>
      </c>
      <c r="H359" s="5" t="n">
        <f aca="false">SUMIFS(Pareto_Categories!$G$6:$G$84,Pareto_Categories!$B$6:$B$84,D359,Pareto_Categories!$C$6:$C$84,E359)</f>
        <v>0.702899355173986</v>
      </c>
      <c r="I359" s="28" t="n">
        <f aca="false">G359*H359</f>
        <v>0.0206445659947954</v>
      </c>
      <c r="J359" s="29" t="n">
        <f aca="false">I359/$I$475</f>
        <v>1.78453551188206E-005</v>
      </c>
      <c r="K359" s="14" t="n">
        <f aca="false">SUM(J$6:J359)</f>
        <v>0.976854370163268</v>
      </c>
      <c r="L359" s="4" t="str">
        <f aca="false">IF(I359&lt;=0,"-",IF(K359-J359&lt;0.8,"A - top 80%",IF(K359-J359&lt;0.95,"B - next 15%","C - tail")))</f>
        <v>C - tail</v>
      </c>
      <c r="M359" s="16" t="n">
        <v>12699.1071428571</v>
      </c>
      <c r="N359" s="16" t="n">
        <v>4233.03571428571</v>
      </c>
      <c r="O359" s="17" t="n">
        <f aca="false">N359-M359</f>
        <v>-8466.07142857143</v>
      </c>
      <c r="P359" s="14" t="n">
        <f aca="false">IF(M359&lt;1000,"new",R359)</f>
        <v>-0.666666666666667</v>
      </c>
      <c r="Q359" s="4" t="str">
        <f aca="false">IF(LEFT(L359,1)="A",IF(R359&lt;-0.05,"2 FIX","1 PROTECT"),IF(AND(N359&gt;=300000,OR(P359="new",R359&gt;=0.25),LEFT(L359,1)&lt;&gt;"-"),"3 SCALE","4 MAINTAIN"))</f>
        <v>4 MAINTAIN</v>
      </c>
      <c r="R359" s="14" t="n">
        <f aca="false">IF(M359&lt;1000,0,N359/M359-1)</f>
        <v>-0.666666666666667</v>
      </c>
    </row>
    <row r="360" customFormat="false" ht="15" hidden="false" customHeight="false" outlineLevel="0" collapsed="false">
      <c r="A360" s="25" t="n">
        <f aca="false">ROW()-5</f>
        <v>355</v>
      </c>
      <c r="B360" s="4" t="s">
        <v>871</v>
      </c>
      <c r="C360" s="4" t="s">
        <v>872</v>
      </c>
      <c r="D360" s="4" t="s">
        <v>83</v>
      </c>
      <c r="E360" s="4" t="s">
        <v>226</v>
      </c>
      <c r="F360" s="16" t="n">
        <v>4233.03571428571</v>
      </c>
      <c r="G360" s="14" t="n">
        <f aca="false">IF(SUMIFS(F$6:F$473,D$6:D$473,D360,E$6:E$473,E360)=0,0,F360/SUMIFS(F$6:F$473,D$6:D$473,D360,E$6:E$473,E360))</f>
        <v>0.0293705860488168</v>
      </c>
      <c r="H360" s="5" t="n">
        <f aca="false">SUMIFS(Pareto_Categories!$G$6:$G$84,Pareto_Categories!$B$6:$B$84,D360,Pareto_Categories!$C$6:$C$84,E360)</f>
        <v>0.702899355173986</v>
      </c>
      <c r="I360" s="28" t="n">
        <f aca="false">G360*H360</f>
        <v>0.0206445659947954</v>
      </c>
      <c r="J360" s="29" t="n">
        <f aca="false">I360/$I$475</f>
        <v>1.78453551188206E-005</v>
      </c>
      <c r="K360" s="14" t="n">
        <f aca="false">SUM(J$6:J360)</f>
        <v>0.976872215518387</v>
      </c>
      <c r="L360" s="4" t="str">
        <f aca="false">IF(I360&lt;=0,"-",IF(K360-J360&lt;0.8,"A - top 80%",IF(K360-J360&lt;0.95,"B - next 15%","C - tail")))</f>
        <v>C - tail</v>
      </c>
      <c r="M360" s="16" t="n">
        <v>0</v>
      </c>
      <c r="N360" s="16" t="n">
        <v>4233.03571428571</v>
      </c>
      <c r="O360" s="17" t="n">
        <f aca="false">N360-M360</f>
        <v>4233.03571428571</v>
      </c>
      <c r="P360" s="14" t="str">
        <f aca="false">IF(M360&lt;1000,"new",R360)</f>
        <v>new</v>
      </c>
      <c r="Q360" s="4" t="str">
        <f aca="false">IF(LEFT(L360,1)="A",IF(R360&lt;-0.05,"2 FIX","1 PROTECT"),IF(AND(N360&gt;=300000,OR(P360="new",R360&gt;=0.25),LEFT(L360,1)&lt;&gt;"-"),"3 SCALE","4 MAINTAIN"))</f>
        <v>4 MAINTAIN</v>
      </c>
      <c r="R360" s="14" t="n">
        <f aca="false">IF(M360&lt;1000,0,N360/M360-1)</f>
        <v>0</v>
      </c>
    </row>
    <row r="361" customFormat="false" ht="15" hidden="false" customHeight="false" outlineLevel="0" collapsed="false">
      <c r="A361" s="25" t="n">
        <f aca="false">ROW()-5</f>
        <v>356</v>
      </c>
      <c r="B361" s="4" t="s">
        <v>873</v>
      </c>
      <c r="C361" s="4" t="s">
        <v>874</v>
      </c>
      <c r="D361" s="4" t="s">
        <v>78</v>
      </c>
      <c r="E361" s="4" t="s">
        <v>170</v>
      </c>
      <c r="F361" s="16" t="n">
        <v>6920.02678571429</v>
      </c>
      <c r="G361" s="14" t="n">
        <f aca="false">IF(SUMIFS(F$6:F$473,D$6:D$473,D361,E$6:E$473,E361)=0,0,F361/SUMIFS(F$6:F$473,D$6:D$473,D361,E$6:E$473,E361))</f>
        <v>0.0091059249694848</v>
      </c>
      <c r="H361" s="5" t="n">
        <f aca="false">SUMIFS(Pareto_Categories!$G$6:$G$84,Pareto_Categories!$B$6:$B$84,D361,Pareto_Categories!$C$6:$C$84,E361)</f>
        <v>2.21636597325937</v>
      </c>
      <c r="I361" s="28" t="n">
        <f aca="false">G361*H361</f>
        <v>0.020182062257419</v>
      </c>
      <c r="J361" s="29" t="n">
        <f aca="false">I361/$I$475</f>
        <v>1.74455625807094E-005</v>
      </c>
      <c r="K361" s="14" t="n">
        <f aca="false">SUM(J$6:J361)</f>
        <v>0.976889661080967</v>
      </c>
      <c r="L361" s="4" t="str">
        <f aca="false">IF(I361&lt;=0,"-",IF(K361-J361&lt;0.8,"A - top 80%",IF(K361-J361&lt;0.95,"B - next 15%","C - tail")))</f>
        <v>C - tail</v>
      </c>
      <c r="M361" s="16" t="n">
        <v>15265.1785714286</v>
      </c>
      <c r="N361" s="16" t="n">
        <v>18133.4196428571</v>
      </c>
      <c r="O361" s="17" t="n">
        <f aca="false">N361-M361</f>
        <v>2868.24107142857</v>
      </c>
      <c r="P361" s="14" t="n">
        <f aca="false">IF(M361&lt;1000,"new",R361)</f>
        <v>0.187894367432883</v>
      </c>
      <c r="Q361" s="4" t="str">
        <f aca="false">IF(LEFT(L361,1)="A",IF(R361&lt;-0.05,"2 FIX","1 PROTECT"),IF(AND(N361&gt;=300000,OR(P361="new",R361&gt;=0.25),LEFT(L361,1)&lt;&gt;"-"),"3 SCALE","4 MAINTAIN"))</f>
        <v>4 MAINTAIN</v>
      </c>
      <c r="R361" s="14" t="n">
        <f aca="false">IF(M361&lt;1000,0,N361/M361-1)</f>
        <v>0.187894367432883</v>
      </c>
    </row>
    <row r="362" customFormat="false" ht="15" hidden="false" customHeight="false" outlineLevel="0" collapsed="false">
      <c r="A362" s="25" t="n">
        <f aca="false">ROW()-5</f>
        <v>357</v>
      </c>
      <c r="B362" s="4" t="s">
        <v>875</v>
      </c>
      <c r="C362" s="4" t="s">
        <v>876</v>
      </c>
      <c r="D362" s="4" t="s">
        <v>83</v>
      </c>
      <c r="E362" s="4" t="s">
        <v>226</v>
      </c>
      <c r="F362" s="16" t="n">
        <v>4071.42857142857</v>
      </c>
      <c r="G362" s="14" t="n">
        <f aca="false">IF(SUMIFS(F$6:F$473,D$6:D$473,D362,E$6:E$473,E362)=0,0,F362/SUMIFS(F$6:F$473,D$6:D$473,D362,E$6:E$473,E362))</f>
        <v>0.0282492875727915</v>
      </c>
      <c r="H362" s="5" t="n">
        <f aca="false">SUMIFS(Pareto_Categories!$G$6:$G$84,Pareto_Categories!$B$6:$B$84,D362,Pareto_Categories!$C$6:$C$84,E362)</f>
        <v>0.702899355173986</v>
      </c>
      <c r="I362" s="28" t="n">
        <f aca="false">G362*H362</f>
        <v>0.0198564060190396</v>
      </c>
      <c r="J362" s="29" t="n">
        <f aca="false">I362/$I$475</f>
        <v>1.71640622952588E-005</v>
      </c>
      <c r="K362" s="14" t="n">
        <f aca="false">SUM(J$6:J362)</f>
        <v>0.976906825143263</v>
      </c>
      <c r="L362" s="4" t="str">
        <f aca="false">IF(I362&lt;=0,"-",IF(K362-J362&lt;0.8,"A - top 80%",IF(K362-J362&lt;0.95,"B - next 15%","C - tail")))</f>
        <v>C - tail</v>
      </c>
      <c r="M362" s="16" t="n">
        <v>9500</v>
      </c>
      <c r="N362" s="16" t="n">
        <v>6785.71428571429</v>
      </c>
      <c r="O362" s="17" t="n">
        <f aca="false">N362-M362</f>
        <v>-2714.28571428571</v>
      </c>
      <c r="P362" s="14" t="n">
        <f aca="false">IF(M362&lt;1000,"new",R362)</f>
        <v>-0.285714285714286</v>
      </c>
      <c r="Q362" s="4" t="str">
        <f aca="false">IF(LEFT(L362,1)="A",IF(R362&lt;-0.05,"2 FIX","1 PROTECT"),IF(AND(N362&gt;=300000,OR(P362="new",R362&gt;=0.25),LEFT(L362,1)&lt;&gt;"-"),"3 SCALE","4 MAINTAIN"))</f>
        <v>4 MAINTAIN</v>
      </c>
      <c r="R362" s="14" t="n">
        <f aca="false">IF(M362&lt;1000,0,N362/M362-1)</f>
        <v>-0.285714285714286</v>
      </c>
    </row>
    <row r="363" customFormat="false" ht="15" hidden="false" customHeight="false" outlineLevel="0" collapsed="false">
      <c r="A363" s="25" t="n">
        <f aca="false">ROW()-5</f>
        <v>358</v>
      </c>
      <c r="B363" s="4" t="s">
        <v>877</v>
      </c>
      <c r="C363" s="4" t="s">
        <v>878</v>
      </c>
      <c r="D363" s="4" t="s">
        <v>83</v>
      </c>
      <c r="E363" s="4" t="s">
        <v>226</v>
      </c>
      <c r="F363" s="16" t="n">
        <v>4024.10714285714</v>
      </c>
      <c r="G363" s="14" t="n">
        <f aca="false">IF(SUMIFS(F$6:F$473,D$6:D$473,D363,E$6:E$473,E363)=0,0,F363/SUMIFS(F$6:F$473,D$6:D$473,D363,E$6:E$473,E363))</f>
        <v>0.0279209515549498</v>
      </c>
      <c r="H363" s="5" t="n">
        <f aca="false">SUMIFS(Pareto_Categories!$G$6:$G$84,Pareto_Categories!$B$6:$B$84,D363,Pareto_Categories!$C$6:$C$84,E363)</f>
        <v>0.702899355173986</v>
      </c>
      <c r="I363" s="28" t="n">
        <f aca="false">G363*H363</f>
        <v>0.0196256188438183</v>
      </c>
      <c r="J363" s="29" t="n">
        <f aca="false">I363/$I$475</f>
        <v>1.69645677115639E-005</v>
      </c>
      <c r="K363" s="14" t="n">
        <f aca="false">SUM(J$6:J363)</f>
        <v>0.976923789710974</v>
      </c>
      <c r="L363" s="4" t="str">
        <f aca="false">IF(I363&lt;=0,"-",IF(K363-J363&lt;0.8,"A - top 80%",IF(K363-J363&lt;0.95,"B - next 15%","C - tail")))</f>
        <v>C - tail</v>
      </c>
      <c r="M363" s="16" t="n">
        <v>0</v>
      </c>
      <c r="N363" s="16" t="n">
        <v>4024.10714285714</v>
      </c>
      <c r="O363" s="17" t="n">
        <f aca="false">N363-M363</f>
        <v>4024.10714285714</v>
      </c>
      <c r="P363" s="14" t="str">
        <f aca="false">IF(M363&lt;1000,"new",R363)</f>
        <v>new</v>
      </c>
      <c r="Q363" s="4" t="str">
        <f aca="false">IF(LEFT(L363,1)="A",IF(R363&lt;-0.05,"2 FIX","1 PROTECT"),IF(AND(N363&gt;=300000,OR(P363="new",R363&gt;=0.25),LEFT(L363,1)&lt;&gt;"-"),"3 SCALE","4 MAINTAIN"))</f>
        <v>4 MAINTAIN</v>
      </c>
      <c r="R363" s="14" t="n">
        <f aca="false">IF(M363&lt;1000,0,N363/M363-1)</f>
        <v>0</v>
      </c>
    </row>
    <row r="364" customFormat="false" ht="15" hidden="false" customHeight="false" outlineLevel="0" collapsed="false">
      <c r="A364" s="25" t="n">
        <f aca="false">ROW()-5</f>
        <v>359</v>
      </c>
      <c r="B364" s="4" t="s">
        <v>879</v>
      </c>
      <c r="C364" s="4" t="s">
        <v>880</v>
      </c>
      <c r="D364" s="4" t="s">
        <v>78</v>
      </c>
      <c r="E364" s="4" t="s">
        <v>171</v>
      </c>
      <c r="F364" s="16" t="n">
        <v>6669.64285714286</v>
      </c>
      <c r="G364" s="14" t="n">
        <f aca="false">IF(SUMIFS(F$6:F$473,D$6:D$473,D364,E$6:E$473,E364)=0,0,F364/SUMIFS(F$6:F$473,D$6:D$473,D364,E$6:E$473,E364))</f>
        <v>0.0108387513305764</v>
      </c>
      <c r="H364" s="5" t="n">
        <f aca="false">SUMIFS(Pareto_Categories!$G$6:$G$84,Pareto_Categories!$B$6:$B$84,D364,Pareto_Categories!$C$6:$C$84,E364)</f>
        <v>1.80666823968793</v>
      </c>
      <c r="I364" s="28" t="n">
        <f aca="false">G364*H364</f>
        <v>0.0195820277868277</v>
      </c>
      <c r="J364" s="29" t="n">
        <f aca="false">I364/$I$475</f>
        <v>1.69268871959165E-005</v>
      </c>
      <c r="K364" s="14" t="n">
        <f aca="false">SUM(J$6:J364)</f>
        <v>0.97694071659817</v>
      </c>
      <c r="L364" s="4" t="str">
        <f aca="false">IF(I364&lt;=0,"-",IF(K364-J364&lt;0.8,"A - top 80%",IF(K364-J364&lt;0.95,"B - next 15%","C - tail")))</f>
        <v>C - tail</v>
      </c>
      <c r="M364" s="16" t="n">
        <v>11050.8303571429</v>
      </c>
      <c r="N364" s="16" t="n">
        <v>19798.2142857143</v>
      </c>
      <c r="O364" s="17" t="n">
        <f aca="false">N364-M364</f>
        <v>8747.38392857142</v>
      </c>
      <c r="P364" s="14" t="n">
        <f aca="false">IF(M364&lt;1000,"new",R364)</f>
        <v>0.791558973024812</v>
      </c>
      <c r="Q364" s="4" t="str">
        <f aca="false">IF(LEFT(L364,1)="A",IF(R364&lt;-0.05,"2 FIX","1 PROTECT"),IF(AND(N364&gt;=300000,OR(P364="new",R364&gt;=0.25),LEFT(L364,1)&lt;&gt;"-"),"3 SCALE","4 MAINTAIN"))</f>
        <v>4 MAINTAIN</v>
      </c>
      <c r="R364" s="14" t="n">
        <f aca="false">IF(M364&lt;1000,0,N364/M364-1)</f>
        <v>0.791558973024812</v>
      </c>
    </row>
    <row r="365" customFormat="false" ht="15" hidden="false" customHeight="false" outlineLevel="0" collapsed="false">
      <c r="A365" s="25" t="n">
        <f aca="false">ROW()-5</f>
        <v>360</v>
      </c>
      <c r="B365" s="4" t="s">
        <v>881</v>
      </c>
      <c r="C365" s="4" t="s">
        <v>882</v>
      </c>
      <c r="D365" s="4" t="s">
        <v>78</v>
      </c>
      <c r="E365" s="4" t="s">
        <v>169</v>
      </c>
      <c r="F365" s="16" t="n">
        <v>4308.03571428571</v>
      </c>
      <c r="G365" s="14" t="n">
        <f aca="false">IF(SUMIFS(F$6:F$473,D$6:D$473,D365,E$6:E$473,E365)=0,0,F365/SUMIFS(F$6:F$473,D$6:D$473,D365,E$6:E$473,E365))</f>
        <v>0.00396006936892499</v>
      </c>
      <c r="H365" s="5" t="n">
        <f aca="false">SUMIFS(Pareto_Categories!$G$6:$G$84,Pareto_Categories!$B$6:$B$84,D365,Pareto_Categories!$C$6:$C$84,E365)</f>
        <v>4.89526180272377</v>
      </c>
      <c r="I365" s="28" t="n">
        <f aca="false">G365*H365</f>
        <v>0.0193855763178349</v>
      </c>
      <c r="J365" s="29" t="n">
        <f aca="false">I365/$I$475</f>
        <v>1.67570727164706E-005</v>
      </c>
      <c r="K365" s="14" t="n">
        <f aca="false">SUM(J$6:J365)</f>
        <v>0.976957473670887</v>
      </c>
      <c r="L365" s="4" t="str">
        <f aca="false">IF(I365&lt;=0,"-",IF(K365-J365&lt;0.8,"A - top 80%",IF(K365-J365&lt;0.95,"B - next 15%","C - tail")))</f>
        <v>C - tail</v>
      </c>
      <c r="M365" s="16" t="n">
        <v>5613.39285714286</v>
      </c>
      <c r="N365" s="16" t="n">
        <v>9655.35714285714</v>
      </c>
      <c r="O365" s="17" t="n">
        <f aca="false">N365-M365</f>
        <v>4041.96428571428</v>
      </c>
      <c r="P365" s="14" t="n">
        <f aca="false">IF(M365&lt;1000,"new",R365)</f>
        <v>0.720057261014792</v>
      </c>
      <c r="Q365" s="4" t="str">
        <f aca="false">IF(LEFT(L365,1)="A",IF(R365&lt;-0.05,"2 FIX","1 PROTECT"),IF(AND(N365&gt;=300000,OR(P365="new",R365&gt;=0.25),LEFT(L365,1)&lt;&gt;"-"),"3 SCALE","4 MAINTAIN"))</f>
        <v>4 MAINTAIN</v>
      </c>
      <c r="R365" s="14" t="n">
        <f aca="false">IF(M365&lt;1000,0,N365/M365-1)</f>
        <v>0.720057261014792</v>
      </c>
    </row>
    <row r="366" customFormat="false" ht="15" hidden="false" customHeight="false" outlineLevel="0" collapsed="false">
      <c r="A366" s="25" t="n">
        <f aca="false">ROW()-5</f>
        <v>361</v>
      </c>
      <c r="B366" s="4" t="s">
        <v>883</v>
      </c>
      <c r="C366" s="4" t="s">
        <v>884</v>
      </c>
      <c r="D366" s="4" t="s">
        <v>78</v>
      </c>
      <c r="E366" s="4" t="s">
        <v>170</v>
      </c>
      <c r="F366" s="16" t="n">
        <v>6605.35714285714</v>
      </c>
      <c r="G366" s="14" t="n">
        <f aca="false">IF(SUMIFS(F$6:F$473,D$6:D$473,D366,E$6:E$473,E366)=0,0,F366/SUMIFS(F$6:F$473,D$6:D$473,D366,E$6:E$473,E366))</f>
        <v>0.00869185747426253</v>
      </c>
      <c r="H366" s="5" t="n">
        <f aca="false">SUMIFS(Pareto_Categories!$G$6:$G$84,Pareto_Categories!$B$6:$B$84,D366,Pareto_Categories!$C$6:$C$84,E366)</f>
        <v>2.21636597325937</v>
      </c>
      <c r="I366" s="28" t="n">
        <f aca="false">G366*H366</f>
        <v>0.0192643371503756</v>
      </c>
      <c r="J366" s="29" t="n">
        <f aca="false">I366/$I$475</f>
        <v>1.66522724509592E-005</v>
      </c>
      <c r="K366" s="14" t="n">
        <f aca="false">SUM(J$6:J366)</f>
        <v>0.976974125943338</v>
      </c>
      <c r="L366" s="4" t="str">
        <f aca="false">IF(I366&lt;=0,"-",IF(K366-J366&lt;0.8,"A - top 80%",IF(K366-J366&lt;0.95,"B - next 15%","C - tail")))</f>
        <v>C - tail</v>
      </c>
      <c r="M366" s="16" t="n">
        <v>7496.42857142857</v>
      </c>
      <c r="N366" s="16" t="n">
        <v>8939.28571428571</v>
      </c>
      <c r="O366" s="17" t="n">
        <f aca="false">N366-M366</f>
        <v>1442.85714285714</v>
      </c>
      <c r="P366" s="14" t="n">
        <f aca="false">IF(M366&lt;1000,"new",R366)</f>
        <v>0.192472606002859</v>
      </c>
      <c r="Q366" s="4" t="str">
        <f aca="false">IF(LEFT(L366,1)="A",IF(R366&lt;-0.05,"2 FIX","1 PROTECT"),IF(AND(N366&gt;=300000,OR(P366="new",R366&gt;=0.25),LEFT(L366,1)&lt;&gt;"-"),"3 SCALE","4 MAINTAIN"))</f>
        <v>4 MAINTAIN</v>
      </c>
      <c r="R366" s="14" t="n">
        <f aca="false">IF(M366&lt;1000,0,N366/M366-1)</f>
        <v>0.192472606002859</v>
      </c>
    </row>
    <row r="367" customFormat="false" ht="15" hidden="false" customHeight="false" outlineLevel="0" collapsed="false">
      <c r="A367" s="25" t="n">
        <f aca="false">ROW()-5</f>
        <v>362</v>
      </c>
      <c r="B367" s="4" t="s">
        <v>288</v>
      </c>
      <c r="C367" s="4" t="s">
        <v>289</v>
      </c>
      <c r="D367" s="4" t="s">
        <v>83</v>
      </c>
      <c r="E367" s="4" t="s">
        <v>227</v>
      </c>
      <c r="F367" s="16" t="n">
        <v>3305028.57142857</v>
      </c>
      <c r="G367" s="14" t="n">
        <f aca="false">IF(SUMIFS(F$6:F$473,D$6:D$473,D367,E$6:E$473,E367)=0,0,F367/SUMIFS(F$6:F$473,D$6:D$473,D367,E$6:E$473,E367))</f>
        <v>0.201606619193083</v>
      </c>
      <c r="H367" s="5" t="n">
        <f aca="false">SUMIFS(Pareto_Categories!$G$6:$G$84,Pareto_Categories!$B$6:$B$84,D367,Pareto_Categories!$C$6:$C$84,E367)</f>
        <v>0.0907491325725196</v>
      </c>
      <c r="I367" s="28" t="n">
        <f aca="false">G367*H367</f>
        <v>0.0182956258126505</v>
      </c>
      <c r="J367" s="29" t="n">
        <f aca="false">I367/$I$475</f>
        <v>1.58149093485482E-005</v>
      </c>
      <c r="K367" s="14" t="n">
        <f aca="false">SUM(J$6:J367)</f>
        <v>0.976989940852686</v>
      </c>
      <c r="L367" s="4" t="str">
        <f aca="false">IF(I367&lt;=0,"-",IF(K367-J367&lt;0.8,"A - top 80%",IF(K367-J367&lt;0.95,"B - next 15%","C - tail")))</f>
        <v>C - tail</v>
      </c>
      <c r="M367" s="16" t="n">
        <v>6557275</v>
      </c>
      <c r="N367" s="16" t="n">
        <v>6593000</v>
      </c>
      <c r="O367" s="17" t="n">
        <f aca="false">N367-M367</f>
        <v>35725</v>
      </c>
      <c r="P367" s="14" t="n">
        <f aca="false">IF(M367&lt;1000,"new",R367)</f>
        <v>0.00544814728679222</v>
      </c>
      <c r="Q367" s="4" t="str">
        <f aca="false">IF(LEFT(L367,1)="A",IF(R367&lt;-0.05,"2 FIX","1 PROTECT"),IF(AND(N367&gt;=300000,OR(P367="new",R367&gt;=0.25),LEFT(L367,1)&lt;&gt;"-"),"3 SCALE","4 MAINTAIN"))</f>
        <v>4 MAINTAIN</v>
      </c>
      <c r="R367" s="14" t="n">
        <f aca="false">IF(M367&lt;1000,0,N367/M367-1)</f>
        <v>0.00544814728679222</v>
      </c>
    </row>
    <row r="368" customFormat="false" ht="15" hidden="false" customHeight="false" outlineLevel="0" collapsed="false">
      <c r="A368" s="25" t="n">
        <f aca="false">ROW()-5</f>
        <v>363</v>
      </c>
      <c r="B368" s="4" t="s">
        <v>885</v>
      </c>
      <c r="C368" s="4" t="s">
        <v>886</v>
      </c>
      <c r="D368" s="4" t="s">
        <v>83</v>
      </c>
      <c r="E368" s="4" t="s">
        <v>226</v>
      </c>
      <c r="F368" s="16" t="n">
        <v>3688.39285714286</v>
      </c>
      <c r="G368" s="14" t="n">
        <f aca="false">IF(SUMIFS(F$6:F$473,D$6:D$473,D368,E$6:E$473,E368)=0,0,F368/SUMIFS(F$6:F$473,D$6:D$473,D368,E$6:E$473,E368))</f>
        <v>0.0255916243340354</v>
      </c>
      <c r="H368" s="5" t="n">
        <f aca="false">SUMIFS(Pareto_Categories!$G$6:$G$84,Pareto_Categories!$B$6:$B$84,D368,Pareto_Categories!$C$6:$C$84,E368)</f>
        <v>0.702899355173986</v>
      </c>
      <c r="I368" s="28" t="n">
        <f aca="false">G368*H368</f>
        <v>0.0179883362422484</v>
      </c>
      <c r="J368" s="29" t="n">
        <f aca="false">I368/$I$475</f>
        <v>1.55492853819548E-005</v>
      </c>
      <c r="K368" s="14" t="n">
        <f aca="false">SUM(J$6:J368)</f>
        <v>0.977005490138068</v>
      </c>
      <c r="L368" s="4" t="str">
        <f aca="false">IF(I368&lt;=0,"-",IF(K368-J368&lt;0.8,"A - top 80%",IF(K368-J368&lt;0.95,"B - next 15%","C - tail")))</f>
        <v>C - tail</v>
      </c>
      <c r="M368" s="16" t="n">
        <v>0</v>
      </c>
      <c r="N368" s="16" t="n">
        <v>7376.78571428571</v>
      </c>
      <c r="O368" s="17" t="n">
        <f aca="false">N368-M368</f>
        <v>7376.78571428571</v>
      </c>
      <c r="P368" s="14" t="str">
        <f aca="false">IF(M368&lt;1000,"new",R368)</f>
        <v>new</v>
      </c>
      <c r="Q368" s="4" t="str">
        <f aca="false">IF(LEFT(L368,1)="A",IF(R368&lt;-0.05,"2 FIX","1 PROTECT"),IF(AND(N368&gt;=300000,OR(P368="new",R368&gt;=0.25),LEFT(L368,1)&lt;&gt;"-"),"3 SCALE","4 MAINTAIN"))</f>
        <v>4 MAINTAIN</v>
      </c>
      <c r="R368" s="14" t="n">
        <f aca="false">IF(M368&lt;1000,0,N368/M368-1)</f>
        <v>0</v>
      </c>
    </row>
    <row r="369" customFormat="false" ht="15" hidden="false" customHeight="false" outlineLevel="0" collapsed="false">
      <c r="A369" s="25" t="n">
        <f aca="false">ROW()-5</f>
        <v>364</v>
      </c>
      <c r="B369" s="4" t="s">
        <v>887</v>
      </c>
      <c r="C369" s="4" t="s">
        <v>888</v>
      </c>
      <c r="D369" s="4" t="s">
        <v>78</v>
      </c>
      <c r="E369" s="4" t="s">
        <v>170</v>
      </c>
      <c r="F369" s="16" t="n">
        <v>6066.96428571429</v>
      </c>
      <c r="G369" s="14" t="n">
        <f aca="false">IF(SUMIFS(F$6:F$473,D$6:D$473,D369,E$6:E$473,E369)=0,0,F369/SUMIFS(F$6:F$473,D$6:D$473,D369,E$6:E$473,E369))</f>
        <v>0.00798339707185914</v>
      </c>
      <c r="H369" s="5" t="n">
        <f aca="false">SUMIFS(Pareto_Categories!$G$6:$G$84,Pareto_Categories!$B$6:$B$84,D369,Pareto_Categories!$C$6:$C$84,E369)</f>
        <v>2.21636597325937</v>
      </c>
      <c r="I369" s="28" t="n">
        <f aca="false">G369*H369</f>
        <v>0.0176941296210871</v>
      </c>
      <c r="J369" s="29" t="n">
        <f aca="false">I369/$I$475</f>
        <v>1.52949704385331E-005</v>
      </c>
      <c r="K369" s="14" t="n">
        <f aca="false">SUM(J$6:J369)</f>
        <v>0.977020785108507</v>
      </c>
      <c r="L369" s="4" t="str">
        <f aca="false">IF(I369&lt;=0,"-",IF(K369-J369&lt;0.8,"A - top 80%",IF(K369-J369&lt;0.95,"B - next 15%","C - tail")))</f>
        <v>C - tail</v>
      </c>
      <c r="M369" s="16" t="n">
        <v>2098.21428571429</v>
      </c>
      <c r="N369" s="16" t="n">
        <v>8505.35714285714</v>
      </c>
      <c r="O369" s="17" t="n">
        <f aca="false">N369-M369</f>
        <v>6407.14285714286</v>
      </c>
      <c r="P369" s="14" t="n">
        <f aca="false">IF(M369&lt;1000,"new",R369)</f>
        <v>3.0536170212766</v>
      </c>
      <c r="Q369" s="4" t="str">
        <f aca="false">IF(LEFT(L369,1)="A",IF(R369&lt;-0.05,"2 FIX","1 PROTECT"),IF(AND(N369&gt;=300000,OR(P369="new",R369&gt;=0.25),LEFT(L369,1)&lt;&gt;"-"),"3 SCALE","4 MAINTAIN"))</f>
        <v>4 MAINTAIN</v>
      </c>
      <c r="R369" s="14" t="n">
        <f aca="false">IF(M369&lt;1000,0,N369/M369-1)</f>
        <v>3.0536170212766</v>
      </c>
    </row>
    <row r="370" customFormat="false" ht="15" hidden="false" customHeight="false" outlineLevel="0" collapsed="false">
      <c r="A370" s="25" t="n">
        <f aca="false">ROW()-5</f>
        <v>365</v>
      </c>
      <c r="B370" s="4" t="s">
        <v>889</v>
      </c>
      <c r="C370" s="4" t="s">
        <v>890</v>
      </c>
      <c r="D370" s="4" t="s">
        <v>78</v>
      </c>
      <c r="E370" s="4" t="s">
        <v>170</v>
      </c>
      <c r="F370" s="16" t="n">
        <v>6016.07142857143</v>
      </c>
      <c r="G370" s="14" t="n">
        <f aca="false">IF(SUMIFS(F$6:F$473,D$6:D$473,D370,E$6:E$473,E370)=0,0,F370/SUMIFS(F$6:F$473,D$6:D$473,D370,E$6:E$473,E370))</f>
        <v>0.00791642817809962</v>
      </c>
      <c r="H370" s="5" t="n">
        <f aca="false">SUMIFS(Pareto_Categories!$G$6:$G$84,Pareto_Categories!$B$6:$B$84,D370,Pareto_Categories!$C$6:$C$84,E370)</f>
        <v>2.21636597325937</v>
      </c>
      <c r="I370" s="28" t="n">
        <f aca="false">G370*H370</f>
        <v>0.0175457020436916</v>
      </c>
      <c r="J370" s="29" t="n">
        <f aca="false">I370/$I$475</f>
        <v>1.5166668258254E-005</v>
      </c>
      <c r="K370" s="14" t="n">
        <f aca="false">SUM(J$6:J370)</f>
        <v>0.977035951776765</v>
      </c>
      <c r="L370" s="4" t="str">
        <f aca="false">IF(I370&lt;=0,"-",IF(K370-J370&lt;0.8,"A - top 80%",IF(K370-J370&lt;0.95,"B - next 15%","C - tail")))</f>
        <v>C - tail</v>
      </c>
      <c r="M370" s="16" t="n">
        <v>15304.4642857143</v>
      </c>
      <c r="N370" s="16" t="n">
        <v>11195.5357142857</v>
      </c>
      <c r="O370" s="17" t="n">
        <f aca="false">N370-M370</f>
        <v>-4108.92857142857</v>
      </c>
      <c r="P370" s="14" t="n">
        <f aca="false">IF(M370&lt;1000,"new",R370)</f>
        <v>-0.268479085234234</v>
      </c>
      <c r="Q370" s="4" t="str">
        <f aca="false">IF(LEFT(L370,1)="A",IF(R370&lt;-0.05,"2 FIX","1 PROTECT"),IF(AND(N370&gt;=300000,OR(P370="new",R370&gt;=0.25),LEFT(L370,1)&lt;&gt;"-"),"3 SCALE","4 MAINTAIN"))</f>
        <v>4 MAINTAIN</v>
      </c>
      <c r="R370" s="14" t="n">
        <f aca="false">IF(M370&lt;1000,0,N370/M370-1)</f>
        <v>-0.268479085234234</v>
      </c>
    </row>
    <row r="371" customFormat="false" ht="15" hidden="false" customHeight="false" outlineLevel="0" collapsed="false">
      <c r="A371" s="25" t="n">
        <f aca="false">ROW()-5</f>
        <v>366</v>
      </c>
      <c r="B371" s="4" t="s">
        <v>891</v>
      </c>
      <c r="C371" s="4" t="s">
        <v>892</v>
      </c>
      <c r="D371" s="4" t="s">
        <v>83</v>
      </c>
      <c r="E371" s="4" t="s">
        <v>226</v>
      </c>
      <c r="F371" s="16" t="n">
        <v>3391.07142857143</v>
      </c>
      <c r="G371" s="14" t="n">
        <f aca="false">IF(SUMIFS(F$6:F$473,D$6:D$473,D371,E$6:E$473,E371)=0,0,F371/SUMIFS(F$6:F$473,D$6:D$473,D371,E$6:E$473,E371))</f>
        <v>0.0235286829389171</v>
      </c>
      <c r="H371" s="5" t="n">
        <f aca="false">SUMIFS(Pareto_Categories!$G$6:$G$84,Pareto_Categories!$B$6:$B$84,D371,Pareto_Categories!$C$6:$C$84,E371)</f>
        <v>0.702899355173986</v>
      </c>
      <c r="I371" s="28" t="n">
        <f aca="false">G371*H371</f>
        <v>0.016538296065858</v>
      </c>
      <c r="J371" s="29" t="n">
        <f aca="false">I371/$I$475</f>
        <v>1.42958571485511E-005</v>
      </c>
      <c r="K371" s="14" t="n">
        <f aca="false">SUM(J$6:J371)</f>
        <v>0.977050247633913</v>
      </c>
      <c r="L371" s="4" t="str">
        <f aca="false">IF(I371&lt;=0,"-",IF(K371-J371&lt;0.8,"A - top 80%",IF(K371-J371&lt;0.95,"B - next 15%","C - tail")))</f>
        <v>C - tail</v>
      </c>
      <c r="M371" s="16" t="n">
        <v>6782.14285714286</v>
      </c>
      <c r="N371" s="16" t="n">
        <v>6782.14285714286</v>
      </c>
      <c r="O371" s="17" t="n">
        <f aca="false">N371-M371</f>
        <v>0</v>
      </c>
      <c r="P371" s="14" t="n">
        <f aca="false">IF(M371&lt;1000,"new",R371)</f>
        <v>0</v>
      </c>
      <c r="Q371" s="4" t="str">
        <f aca="false">IF(LEFT(L371,1)="A",IF(R371&lt;-0.05,"2 FIX","1 PROTECT"),IF(AND(N371&gt;=300000,OR(P371="new",R371&gt;=0.25),LEFT(L371,1)&lt;&gt;"-"),"3 SCALE","4 MAINTAIN"))</f>
        <v>4 MAINTAIN</v>
      </c>
      <c r="R371" s="14" t="n">
        <f aca="false">IF(M371&lt;1000,0,N371/M371-1)</f>
        <v>0</v>
      </c>
    </row>
    <row r="372" customFormat="false" ht="15" hidden="false" customHeight="false" outlineLevel="0" collapsed="false">
      <c r="A372" s="25" t="n">
        <f aca="false">ROW()-5</f>
        <v>367</v>
      </c>
      <c r="B372" s="4" t="s">
        <v>893</v>
      </c>
      <c r="C372" s="4" t="s">
        <v>894</v>
      </c>
      <c r="D372" s="4" t="s">
        <v>83</v>
      </c>
      <c r="E372" s="4" t="s">
        <v>226</v>
      </c>
      <c r="F372" s="16" t="n">
        <v>3363.39285714286</v>
      </c>
      <c r="G372" s="14" t="n">
        <f aca="false">IF(SUMIFS(F$6:F$473,D$6:D$473,D372,E$6:E$473,E372)=0,0,F372/SUMIFS(F$6:F$473,D$6:D$473,D372,E$6:E$473,E372))</f>
        <v>0.0233366373435758</v>
      </c>
      <c r="H372" s="5" t="n">
        <f aca="false">SUMIFS(Pareto_Categories!$G$6:$G$84,Pareto_Categories!$B$6:$B$84,D372,Pareto_Categories!$C$6:$C$84,E372)</f>
        <v>0.702899355173986</v>
      </c>
      <c r="I372" s="28" t="n">
        <f aca="false">G372*H372</f>
        <v>0.0164033073407286</v>
      </c>
      <c r="J372" s="29" t="n">
        <f aca="false">I372/$I$475</f>
        <v>1.41791716373333E-005</v>
      </c>
      <c r="K372" s="14" t="n">
        <f aca="false">SUM(J$6:J372)</f>
        <v>0.977064426805551</v>
      </c>
      <c r="L372" s="4" t="str">
        <f aca="false">IF(I372&lt;=0,"-",IF(K372-J372&lt;0.8,"A - top 80%",IF(K372-J372&lt;0.95,"B - next 15%","C - tail")))</f>
        <v>C - tail</v>
      </c>
      <c r="M372" s="16" t="n">
        <v>6726.78571428571</v>
      </c>
      <c r="N372" s="16" t="n">
        <v>3363.39285714286</v>
      </c>
      <c r="O372" s="17" t="n">
        <f aca="false">N372-M372</f>
        <v>-3363.39285714286</v>
      </c>
      <c r="P372" s="14" t="n">
        <f aca="false">IF(M372&lt;1000,"new",R372)</f>
        <v>-0.5</v>
      </c>
      <c r="Q372" s="4" t="str">
        <f aca="false">IF(LEFT(L372,1)="A",IF(R372&lt;-0.05,"2 FIX","1 PROTECT"),IF(AND(N372&gt;=300000,OR(P372="new",R372&gt;=0.25),LEFT(L372,1)&lt;&gt;"-"),"3 SCALE","4 MAINTAIN"))</f>
        <v>4 MAINTAIN</v>
      </c>
      <c r="R372" s="14" t="n">
        <f aca="false">IF(M372&lt;1000,0,N372/M372-1)</f>
        <v>-0.5</v>
      </c>
    </row>
    <row r="373" customFormat="false" ht="15" hidden="false" customHeight="false" outlineLevel="0" collapsed="false">
      <c r="A373" s="25" t="n">
        <f aca="false">ROW()-5</f>
        <v>368</v>
      </c>
      <c r="B373" s="4" t="s">
        <v>895</v>
      </c>
      <c r="C373" s="4" t="s">
        <v>896</v>
      </c>
      <c r="D373" s="4" t="s">
        <v>83</v>
      </c>
      <c r="E373" s="4" t="s">
        <v>226</v>
      </c>
      <c r="F373" s="16" t="n">
        <v>3285.71428571429</v>
      </c>
      <c r="G373" s="14" t="n">
        <f aca="false">IF(SUMIFS(F$6:F$473,D$6:D$473,D373,E$6:E$473,E373)=0,0,F373/SUMIFS(F$6:F$473,D$6:D$473,D373,E$6:E$473,E373))</f>
        <v>0.0227976706727791</v>
      </c>
      <c r="H373" s="5" t="n">
        <f aca="false">SUMIFS(Pareto_Categories!$G$6:$G$84,Pareto_Categories!$B$6:$B$84,D373,Pareto_Categories!$C$6:$C$84,E373)</f>
        <v>0.702899355173986</v>
      </c>
      <c r="I373" s="28" t="n">
        <f aca="false">G373*H373</f>
        <v>0.0160244680153653</v>
      </c>
      <c r="J373" s="29" t="n">
        <f aca="false">I373/$I$475</f>
        <v>1.38516993961738E-005</v>
      </c>
      <c r="K373" s="14" t="n">
        <f aca="false">SUM(J$6:J373)</f>
        <v>0.977078278504947</v>
      </c>
      <c r="L373" s="4" t="str">
        <f aca="false">IF(I373&lt;=0,"-",IF(K373-J373&lt;0.8,"A - top 80%",IF(K373-J373&lt;0.95,"B - next 15%","C - tail")))</f>
        <v>C - tail</v>
      </c>
      <c r="M373" s="16" t="n">
        <v>2464.28571428571</v>
      </c>
      <c r="N373" s="16" t="n">
        <v>3285.71428571429</v>
      </c>
      <c r="O373" s="17" t="n">
        <f aca="false">N373-M373</f>
        <v>821.428571428571</v>
      </c>
      <c r="P373" s="14" t="n">
        <f aca="false">IF(M373&lt;1000,"new",R373)</f>
        <v>0.333333333333333</v>
      </c>
      <c r="Q373" s="4" t="str">
        <f aca="false">IF(LEFT(L373,1)="A",IF(R373&lt;-0.05,"2 FIX","1 PROTECT"),IF(AND(N373&gt;=300000,OR(P373="new",R373&gt;=0.25),LEFT(L373,1)&lt;&gt;"-"),"3 SCALE","4 MAINTAIN"))</f>
        <v>4 MAINTAIN</v>
      </c>
      <c r="R373" s="14" t="n">
        <f aca="false">IF(M373&lt;1000,0,N373/M373-1)</f>
        <v>0.333333333333333</v>
      </c>
    </row>
    <row r="374" customFormat="false" ht="15" hidden="false" customHeight="false" outlineLevel="0" collapsed="false">
      <c r="A374" s="25" t="n">
        <f aca="false">ROW()-5</f>
        <v>369</v>
      </c>
      <c r="B374" s="4" t="s">
        <v>897</v>
      </c>
      <c r="C374" s="4" t="s">
        <v>898</v>
      </c>
      <c r="D374" s="4" t="s">
        <v>83</v>
      </c>
      <c r="E374" s="4" t="s">
        <v>226</v>
      </c>
      <c r="F374" s="16" t="n">
        <v>3053.57142857143</v>
      </c>
      <c r="G374" s="14" t="n">
        <f aca="false">IF(SUMIFS(F$6:F$473,D$6:D$473,D374,E$6:E$473,E374)=0,0,F374/SUMIFS(F$6:F$473,D$6:D$473,D374,E$6:E$473,E374))</f>
        <v>0.0211869656795936</v>
      </c>
      <c r="H374" s="5" t="n">
        <f aca="false">SUMIFS(Pareto_Categories!$G$6:$G$84,Pareto_Categories!$B$6:$B$84,D374,Pareto_Categories!$C$6:$C$84,E374)</f>
        <v>0.702899355173986</v>
      </c>
      <c r="I374" s="28" t="n">
        <f aca="false">G374*H374</f>
        <v>0.0148923045142797</v>
      </c>
      <c r="J374" s="29" t="n">
        <f aca="false">I374/$I$475</f>
        <v>1.28730467214441E-005</v>
      </c>
      <c r="K374" s="14" t="n">
        <f aca="false">SUM(J$6:J374)</f>
        <v>0.977091151551668</v>
      </c>
      <c r="L374" s="4" t="str">
        <f aca="false">IF(I374&lt;=0,"-",IF(K374-J374&lt;0.8,"A - top 80%",IF(K374-J374&lt;0.95,"B - next 15%","C - tail")))</f>
        <v>C - tail</v>
      </c>
      <c r="M374" s="16" t="n">
        <v>5089.28571428571</v>
      </c>
      <c r="N374" s="16" t="n">
        <v>5089.28571428571</v>
      </c>
      <c r="O374" s="17" t="n">
        <f aca="false">N374-M374</f>
        <v>0</v>
      </c>
      <c r="P374" s="14" t="n">
        <f aca="false">IF(M374&lt;1000,"new",R374)</f>
        <v>0</v>
      </c>
      <c r="Q374" s="4" t="str">
        <f aca="false">IF(LEFT(L374,1)="A",IF(R374&lt;-0.05,"2 FIX","1 PROTECT"),IF(AND(N374&gt;=300000,OR(P374="new",R374&gt;=0.25),LEFT(L374,1)&lt;&gt;"-"),"3 SCALE","4 MAINTAIN"))</f>
        <v>4 MAINTAIN</v>
      </c>
      <c r="R374" s="14" t="n">
        <f aca="false">IF(M374&lt;1000,0,N374/M374-1)</f>
        <v>0</v>
      </c>
    </row>
    <row r="375" customFormat="false" ht="15" hidden="false" customHeight="false" outlineLevel="0" collapsed="false">
      <c r="A375" s="25" t="n">
        <f aca="false">ROW()-5</f>
        <v>370</v>
      </c>
      <c r="B375" s="4" t="s">
        <v>899</v>
      </c>
      <c r="C375" s="4" t="s">
        <v>900</v>
      </c>
      <c r="D375" s="4" t="s">
        <v>83</v>
      </c>
      <c r="E375" s="4" t="s">
        <v>226</v>
      </c>
      <c r="F375" s="16" t="n">
        <v>3042.85714285714</v>
      </c>
      <c r="G375" s="14" t="n">
        <f aca="false">IF(SUMIFS(F$6:F$473,D$6:D$473,D375,E$6:E$473,E375)=0,0,F375/SUMIFS(F$6:F$473,D$6:D$473,D375,E$6:E$473,E375))</f>
        <v>0.0211126254491389</v>
      </c>
      <c r="H375" s="5" t="n">
        <f aca="false">SUMIFS(Pareto_Categories!$G$6:$G$84,Pareto_Categories!$B$6:$B$84,D375,Pareto_Categories!$C$6:$C$84,E375)</f>
        <v>0.702899355173986</v>
      </c>
      <c r="I375" s="28" t="n">
        <f aca="false">G375*H375</f>
        <v>0.0148400508142296</v>
      </c>
      <c r="J375" s="29" t="n">
        <f aca="false">I375/$I$475</f>
        <v>1.28278781364566E-005</v>
      </c>
      <c r="K375" s="14" t="n">
        <f aca="false">SUM(J$6:J375)</f>
        <v>0.977103979429805</v>
      </c>
      <c r="L375" s="4" t="str">
        <f aca="false">IF(I375&lt;=0,"-",IF(K375-J375&lt;0.8,"A - top 80%",IF(K375-J375&lt;0.95,"B - next 15%","C - tail")))</f>
        <v>C - tail</v>
      </c>
      <c r="M375" s="16" t="n">
        <v>12171.4285714286</v>
      </c>
      <c r="N375" s="16" t="n">
        <v>13692.8571428571</v>
      </c>
      <c r="O375" s="17" t="n">
        <f aca="false">N375-M375</f>
        <v>1521.42857142857</v>
      </c>
      <c r="P375" s="14" t="n">
        <f aca="false">IF(M375&lt;1000,"new",R375)</f>
        <v>0.125</v>
      </c>
      <c r="Q375" s="4" t="str">
        <f aca="false">IF(LEFT(L375,1)="A",IF(R375&lt;-0.05,"2 FIX","1 PROTECT"),IF(AND(N375&gt;=300000,OR(P375="new",R375&gt;=0.25),LEFT(L375,1)&lt;&gt;"-"),"3 SCALE","4 MAINTAIN"))</f>
        <v>4 MAINTAIN</v>
      </c>
      <c r="R375" s="14" t="n">
        <f aca="false">IF(M375&lt;1000,0,N375/M375-1)</f>
        <v>0.125</v>
      </c>
    </row>
    <row r="376" customFormat="false" ht="15" hidden="false" customHeight="false" outlineLevel="0" collapsed="false">
      <c r="A376" s="25" t="n">
        <f aca="false">ROW()-5</f>
        <v>371</v>
      </c>
      <c r="B376" s="4" t="s">
        <v>901</v>
      </c>
      <c r="C376" s="4" t="s">
        <v>902</v>
      </c>
      <c r="D376" s="4" t="s">
        <v>78</v>
      </c>
      <c r="E376" s="4" t="s">
        <v>169</v>
      </c>
      <c r="F376" s="16" t="n">
        <v>3284.82142857143</v>
      </c>
      <c r="G376" s="14" t="n">
        <f aca="false">IF(SUMIFS(F$6:F$473,D$6:D$473,D376,E$6:E$473,E376)=0,0,F376/SUMIFS(F$6:F$473,D$6:D$473,D376,E$6:E$473,E376))</f>
        <v>0.00301950159756995</v>
      </c>
      <c r="H376" s="5" t="n">
        <f aca="false">SUMIFS(Pareto_Categories!$G$6:$G$84,Pareto_Categories!$B$6:$B$84,D376,Pareto_Categories!$C$6:$C$84,E376)</f>
        <v>4.89526180272377</v>
      </c>
      <c r="I376" s="28" t="n">
        <f aca="false">G376*H376</f>
        <v>0.0147812508338476</v>
      </c>
      <c r="J376" s="29" t="n">
        <f aca="false">I376/$I$475</f>
        <v>1.27770508857814E-005</v>
      </c>
      <c r="K376" s="14" t="n">
        <f aca="false">SUM(J$6:J376)</f>
        <v>0.977116756480691</v>
      </c>
      <c r="L376" s="4" t="str">
        <f aca="false">IF(I376&lt;=0,"-",IF(K376-J376&lt;0.8,"A - top 80%",IF(K376-J376&lt;0.95,"B - next 15%","C - tail")))</f>
        <v>C - tail</v>
      </c>
      <c r="M376" s="16" t="n">
        <v>82602.6785714286</v>
      </c>
      <c r="N376" s="16" t="n">
        <v>22817.8571428571</v>
      </c>
      <c r="O376" s="17" t="n">
        <f aca="false">N376-M376</f>
        <v>-59784.8214285714</v>
      </c>
      <c r="P376" s="14" t="n">
        <f aca="false">IF(M376&lt;1000,"new",R376)</f>
        <v>-0.723763713992326</v>
      </c>
      <c r="Q376" s="4" t="str">
        <f aca="false">IF(LEFT(L376,1)="A",IF(R376&lt;-0.05,"2 FIX","1 PROTECT"),IF(AND(N376&gt;=300000,OR(P376="new",R376&gt;=0.25),LEFT(L376,1)&lt;&gt;"-"),"3 SCALE","4 MAINTAIN"))</f>
        <v>4 MAINTAIN</v>
      </c>
      <c r="R376" s="14" t="n">
        <f aca="false">IF(M376&lt;1000,0,N376/M376-1)</f>
        <v>-0.723763713992326</v>
      </c>
    </row>
    <row r="377" customFormat="false" ht="15" hidden="false" customHeight="false" outlineLevel="0" collapsed="false">
      <c r="A377" s="25" t="n">
        <f aca="false">ROW()-5</f>
        <v>372</v>
      </c>
      <c r="B377" s="4" t="s">
        <v>903</v>
      </c>
      <c r="C377" s="4" t="s">
        <v>904</v>
      </c>
      <c r="D377" s="4" t="s">
        <v>78</v>
      </c>
      <c r="E377" s="4" t="s">
        <v>170</v>
      </c>
      <c r="F377" s="16" t="n">
        <v>4888.39285714286</v>
      </c>
      <c r="G377" s="14" t="n">
        <f aca="false">IF(SUMIFS(F$6:F$473,D$6:D$473,D377,E$6:E$473,E377)=0,0,F377/SUMIFS(F$6:F$473,D$6:D$473,D377,E$6:E$473,E377))</f>
        <v>0.0064325384795333</v>
      </c>
      <c r="H377" s="5" t="n">
        <f aca="false">SUMIFS(Pareto_Categories!$G$6:$G$84,Pareto_Categories!$B$6:$B$84,D377,Pareto_Categories!$C$6:$C$84,E377)</f>
        <v>2.21636597325937</v>
      </c>
      <c r="I377" s="28" t="n">
        <f aca="false">G377*H377</f>
        <v>0.0142568594077192</v>
      </c>
      <c r="J377" s="29" t="n">
        <f aca="false">I377/$I$475</f>
        <v>1.23237620531227E-005</v>
      </c>
      <c r="K377" s="14" t="n">
        <f aca="false">SUM(J$6:J377)</f>
        <v>0.977129080242744</v>
      </c>
      <c r="L377" s="4" t="str">
        <f aca="false">IF(I377&lt;=0,"-",IF(K377-J377&lt;0.8,"A - top 80%",IF(K377-J377&lt;0.95,"B - next 15%","C - tail")))</f>
        <v>C - tail</v>
      </c>
      <c r="M377" s="16" t="n">
        <v>17678.5714285714</v>
      </c>
      <c r="N377" s="16" t="n">
        <v>17879.4642857143</v>
      </c>
      <c r="O377" s="17" t="n">
        <f aca="false">N377-M377</f>
        <v>200.892857142848</v>
      </c>
      <c r="P377" s="14" t="n">
        <f aca="false">IF(M377&lt;1000,"new",R377)</f>
        <v>0.0113636363636358</v>
      </c>
      <c r="Q377" s="4" t="str">
        <f aca="false">IF(LEFT(L377,1)="A",IF(R377&lt;-0.05,"2 FIX","1 PROTECT"),IF(AND(N377&gt;=300000,OR(P377="new",R377&gt;=0.25),LEFT(L377,1)&lt;&gt;"-"),"3 SCALE","4 MAINTAIN"))</f>
        <v>4 MAINTAIN</v>
      </c>
      <c r="R377" s="14" t="n">
        <f aca="false">IF(M377&lt;1000,0,N377/M377-1)</f>
        <v>0.0113636363636358</v>
      </c>
    </row>
    <row r="378" customFormat="false" ht="15" hidden="false" customHeight="false" outlineLevel="0" collapsed="false">
      <c r="A378" s="25" t="n">
        <f aca="false">ROW()-5</f>
        <v>373</v>
      </c>
      <c r="B378" s="4" t="s">
        <v>905</v>
      </c>
      <c r="C378" s="4" t="s">
        <v>906</v>
      </c>
      <c r="D378" s="4" t="s">
        <v>83</v>
      </c>
      <c r="E378" s="4" t="s">
        <v>226</v>
      </c>
      <c r="F378" s="16" t="n">
        <v>2907.14285714286</v>
      </c>
      <c r="G378" s="14" t="n">
        <f aca="false">IF(SUMIFS(F$6:F$473,D$6:D$473,D378,E$6:E$473,E378)=0,0,F378/SUMIFS(F$6:F$473,D$6:D$473,D378,E$6:E$473,E378))</f>
        <v>0.0201709825300458</v>
      </c>
      <c r="H378" s="5" t="n">
        <f aca="false">SUMIFS(Pareto_Categories!$G$6:$G$84,Pareto_Categories!$B$6:$B$84,D378,Pareto_Categories!$C$6:$C$84,E378)</f>
        <v>0.702899355173986</v>
      </c>
      <c r="I378" s="28" t="n">
        <f aca="false">G378*H378</f>
        <v>0.014178170613595</v>
      </c>
      <c r="J378" s="29" t="n">
        <f aca="false">I378/$I$475</f>
        <v>1.22557427266146E-005</v>
      </c>
      <c r="K378" s="14" t="n">
        <f aca="false">SUM(J$6:J378)</f>
        <v>0.97714133598547</v>
      </c>
      <c r="L378" s="4" t="str">
        <f aca="false">IF(I378&lt;=0,"-",IF(K378-J378&lt;0.8,"A - top 80%",IF(K378-J378&lt;0.95,"B - next 15%","C - tail")))</f>
        <v>C - tail</v>
      </c>
      <c r="M378" s="16" t="n">
        <v>12355.3571428571</v>
      </c>
      <c r="N378" s="16" t="n">
        <v>7267.85714285714</v>
      </c>
      <c r="O378" s="17" t="n">
        <f aca="false">N378-M378</f>
        <v>-5087.5</v>
      </c>
      <c r="P378" s="14" t="n">
        <f aca="false">IF(M378&lt;1000,"new",R378)</f>
        <v>-0.411764705882353</v>
      </c>
      <c r="Q378" s="4" t="str">
        <f aca="false">IF(LEFT(L378,1)="A",IF(R378&lt;-0.05,"2 FIX","1 PROTECT"),IF(AND(N378&gt;=300000,OR(P378="new",R378&gt;=0.25),LEFT(L378,1)&lt;&gt;"-"),"3 SCALE","4 MAINTAIN"))</f>
        <v>4 MAINTAIN</v>
      </c>
      <c r="R378" s="14" t="n">
        <f aca="false">IF(M378&lt;1000,0,N378/M378-1)</f>
        <v>-0.411764705882353</v>
      </c>
    </row>
    <row r="379" customFormat="false" ht="15" hidden="false" customHeight="false" outlineLevel="0" collapsed="false">
      <c r="A379" s="25" t="n">
        <f aca="false">ROW()-5</f>
        <v>374</v>
      </c>
      <c r="B379" s="4" t="s">
        <v>296</v>
      </c>
      <c r="C379" s="4" t="s">
        <v>297</v>
      </c>
      <c r="D379" s="4" t="s">
        <v>83</v>
      </c>
      <c r="E379" s="4" t="s">
        <v>227</v>
      </c>
      <c r="F379" s="16" t="n">
        <v>2547067.85714286</v>
      </c>
      <c r="G379" s="14" t="n">
        <f aca="false">IF(SUMIFS(F$6:F$473,D$6:D$473,D379,E$6:E$473,E379)=0,0,F379/SUMIFS(F$6:F$473,D$6:D$473,D379,E$6:E$473,E379))</f>
        <v>0.155371043982226</v>
      </c>
      <c r="H379" s="5" t="n">
        <f aca="false">SUMIFS(Pareto_Categories!$G$6:$G$84,Pareto_Categories!$B$6:$B$84,D379,Pareto_Categories!$C$6:$C$84,E379)</f>
        <v>0.0907491325725196</v>
      </c>
      <c r="I379" s="28" t="n">
        <f aca="false">G379*H379</f>
        <v>0.0140997874682738</v>
      </c>
      <c r="J379" s="29" t="n">
        <f aca="false">I379/$I$475</f>
        <v>1.21879876057785E-005</v>
      </c>
      <c r="K379" s="14" t="n">
        <f aca="false">SUM(J$6:J379)</f>
        <v>0.977153523973076</v>
      </c>
      <c r="L379" s="4" t="str">
        <f aca="false">IF(I379&lt;=0,"-",IF(K379-J379&lt;0.8,"A - top 80%",IF(K379-J379&lt;0.95,"B - next 15%","C - tail")))</f>
        <v>C - tail</v>
      </c>
      <c r="M379" s="16" t="n">
        <v>5670283.03571429</v>
      </c>
      <c r="N379" s="16" t="n">
        <v>5367420.53571429</v>
      </c>
      <c r="O379" s="17" t="n">
        <f aca="false">N379-M379</f>
        <v>-302862.5</v>
      </c>
      <c r="P379" s="14" t="n">
        <f aca="false">IF(M379&lt;1000,"new",R379)</f>
        <v>-0.0534122367600383</v>
      </c>
      <c r="Q379" s="4" t="str">
        <f aca="false">IF(LEFT(L379,1)="A",IF(R379&lt;-0.05,"2 FIX","1 PROTECT"),IF(AND(N379&gt;=300000,OR(P379="new",R379&gt;=0.25),LEFT(L379,1)&lt;&gt;"-"),"3 SCALE","4 MAINTAIN"))</f>
        <v>4 MAINTAIN</v>
      </c>
      <c r="R379" s="14" t="n">
        <f aca="false">IF(M379&lt;1000,0,N379/M379-1)</f>
        <v>-0.0534122367600383</v>
      </c>
    </row>
    <row r="380" customFormat="false" ht="15" hidden="false" customHeight="false" outlineLevel="0" collapsed="false">
      <c r="A380" s="25" t="n">
        <f aca="false">ROW()-5</f>
        <v>375</v>
      </c>
      <c r="B380" s="4" t="s">
        <v>907</v>
      </c>
      <c r="C380" s="4" t="s">
        <v>908</v>
      </c>
      <c r="D380" s="4" t="s">
        <v>83</v>
      </c>
      <c r="E380" s="4" t="s">
        <v>226</v>
      </c>
      <c r="F380" s="16" t="n">
        <v>2678.57142857143</v>
      </c>
      <c r="G380" s="14" t="n">
        <f aca="false">IF(SUMIFS(F$6:F$473,D$6:D$473,D380,E$6:E$473,E380)=0,0,F380/SUMIFS(F$6:F$473,D$6:D$473,D380,E$6:E$473,E380))</f>
        <v>0.0185850576136786</v>
      </c>
      <c r="H380" s="5" t="n">
        <f aca="false">SUMIFS(Pareto_Categories!$G$6:$G$84,Pareto_Categories!$B$6:$B$84,D380,Pareto_Categories!$C$6:$C$84,E380)</f>
        <v>0.702899355173986</v>
      </c>
      <c r="I380" s="28" t="n">
        <f aca="false">G380*H380</f>
        <v>0.0130634250125261</v>
      </c>
      <c r="J380" s="29" t="n">
        <f aca="false">I380/$I$475</f>
        <v>1.12921462468808E-005</v>
      </c>
      <c r="K380" s="14" t="n">
        <f aca="false">SUM(J$6:J380)</f>
        <v>0.977164816119323</v>
      </c>
      <c r="L380" s="4" t="str">
        <f aca="false">IF(I380&lt;=0,"-",IF(K380-J380&lt;0.8,"A - top 80%",IF(K380-J380&lt;0.95,"B - next 15%","C - tail")))</f>
        <v>C - tail</v>
      </c>
      <c r="M380" s="16" t="n">
        <v>1339.28571428571</v>
      </c>
      <c r="N380" s="16" t="n">
        <v>2678.57142857143</v>
      </c>
      <c r="O380" s="17" t="n">
        <f aca="false">N380-M380</f>
        <v>1339.28571428571</v>
      </c>
      <c r="P380" s="14" t="n">
        <f aca="false">IF(M380&lt;1000,"new",R380)</f>
        <v>1</v>
      </c>
      <c r="Q380" s="4" t="str">
        <f aca="false">IF(LEFT(L380,1)="A",IF(R380&lt;-0.05,"2 FIX","1 PROTECT"),IF(AND(N380&gt;=300000,OR(P380="new",R380&gt;=0.25),LEFT(L380,1)&lt;&gt;"-"),"3 SCALE","4 MAINTAIN"))</f>
        <v>4 MAINTAIN</v>
      </c>
      <c r="R380" s="14" t="n">
        <f aca="false">IF(M380&lt;1000,0,N380/M380-1)</f>
        <v>1</v>
      </c>
    </row>
    <row r="381" customFormat="false" ht="15" hidden="false" customHeight="false" outlineLevel="0" collapsed="false">
      <c r="A381" s="25" t="n">
        <f aca="false">ROW()-5</f>
        <v>376</v>
      </c>
      <c r="B381" s="4" t="s">
        <v>909</v>
      </c>
      <c r="C381" s="4" t="s">
        <v>910</v>
      </c>
      <c r="D381" s="4" t="s">
        <v>78</v>
      </c>
      <c r="E381" s="4" t="s">
        <v>171</v>
      </c>
      <c r="F381" s="16" t="n">
        <v>4401.78571428571</v>
      </c>
      <c r="G381" s="14" t="n">
        <f aca="false">IF(SUMIFS(F$6:F$473,D$6:D$473,D381,E$6:E$473,E381)=0,0,F381/SUMIFS(F$6:F$473,D$6:D$473,D381,E$6:E$473,E381))</f>
        <v>0.00715328568403505</v>
      </c>
      <c r="H381" s="5" t="n">
        <f aca="false">SUMIFS(Pareto_Categories!$G$6:$G$84,Pareto_Categories!$B$6:$B$84,D381,Pareto_Categories!$C$6:$C$84,E381)</f>
        <v>1.80666823968793</v>
      </c>
      <c r="I381" s="28" t="n">
        <f aca="false">G381*H381</f>
        <v>0.0129236140547605</v>
      </c>
      <c r="J381" s="29" t="n">
        <f aca="false">I381/$I$475</f>
        <v>1.11712923528605E-005</v>
      </c>
      <c r="K381" s="14" t="n">
        <f aca="false">SUM(J$6:J381)</f>
        <v>0.977175987411676</v>
      </c>
      <c r="L381" s="4" t="str">
        <f aca="false">IF(I381&lt;=0,"-",IF(K381-J381&lt;0.8,"A - top 80%",IF(K381-J381&lt;0.95,"B - next 15%","C - tail")))</f>
        <v>C - tail</v>
      </c>
      <c r="M381" s="16" t="n">
        <v>6437.5</v>
      </c>
      <c r="N381" s="16" t="n">
        <v>6660.71428571428</v>
      </c>
      <c r="O381" s="17" t="n">
        <f aca="false">N381-M381</f>
        <v>223.214285714284</v>
      </c>
      <c r="P381" s="14" t="n">
        <f aca="false">IF(M381&lt;1000,"new",R381)</f>
        <v>0.0346740638002772</v>
      </c>
      <c r="Q381" s="4" t="str">
        <f aca="false">IF(LEFT(L381,1)="A",IF(R381&lt;-0.05,"2 FIX","1 PROTECT"),IF(AND(N381&gt;=300000,OR(P381="new",R381&gt;=0.25),LEFT(L381,1)&lt;&gt;"-"),"3 SCALE","4 MAINTAIN"))</f>
        <v>4 MAINTAIN</v>
      </c>
      <c r="R381" s="14" t="n">
        <f aca="false">IF(M381&lt;1000,0,N381/M381-1)</f>
        <v>0.0346740638002772</v>
      </c>
    </row>
    <row r="382" customFormat="false" ht="15" hidden="false" customHeight="false" outlineLevel="0" collapsed="false">
      <c r="A382" s="25" t="n">
        <f aca="false">ROW()-5</f>
        <v>377</v>
      </c>
      <c r="B382" s="4" t="s">
        <v>911</v>
      </c>
      <c r="C382" s="4" t="s">
        <v>912</v>
      </c>
      <c r="D382" s="4" t="s">
        <v>83</v>
      </c>
      <c r="E382" s="4" t="s">
        <v>226</v>
      </c>
      <c r="F382" s="16" t="n">
        <v>2533.92857142857</v>
      </c>
      <c r="G382" s="14" t="n">
        <f aca="false">IF(SUMIFS(F$6:F$473,D$6:D$473,D382,E$6:E$473,E382)=0,0,F382/SUMIFS(F$6:F$473,D$6:D$473,D382,E$6:E$473,E382))</f>
        <v>0.01758146450254</v>
      </c>
      <c r="H382" s="5" t="n">
        <f aca="false">SUMIFS(Pareto_Categories!$G$6:$G$84,Pareto_Categories!$B$6:$B$84,D382,Pareto_Categories!$C$6:$C$84,E382)</f>
        <v>0.702899355173986</v>
      </c>
      <c r="I382" s="28" t="n">
        <f aca="false">G382*H382</f>
        <v>0.0123580000618497</v>
      </c>
      <c r="J382" s="29" t="n">
        <f aca="false">I382/$I$475</f>
        <v>1.06823703495492E-005</v>
      </c>
      <c r="K382" s="14" t="n">
        <f aca="false">SUM(J$6:J382)</f>
        <v>0.977186669782025</v>
      </c>
      <c r="L382" s="4" t="str">
        <f aca="false">IF(I382&lt;=0,"-",IF(K382-J382&lt;0.8,"A - top 80%",IF(K382-J382&lt;0.95,"B - next 15%","C - tail")))</f>
        <v>C - tail</v>
      </c>
      <c r="M382" s="16" t="n">
        <v>0</v>
      </c>
      <c r="N382" s="16" t="n">
        <v>2533.92857142857</v>
      </c>
      <c r="O382" s="17" t="n">
        <f aca="false">N382-M382</f>
        <v>2533.92857142857</v>
      </c>
      <c r="P382" s="14" t="str">
        <f aca="false">IF(M382&lt;1000,"new",R382)</f>
        <v>new</v>
      </c>
      <c r="Q382" s="4" t="str">
        <f aca="false">IF(LEFT(L382,1)="A",IF(R382&lt;-0.05,"2 FIX","1 PROTECT"),IF(AND(N382&gt;=300000,OR(P382="new",R382&gt;=0.25),LEFT(L382,1)&lt;&gt;"-"),"3 SCALE","4 MAINTAIN"))</f>
        <v>4 MAINTAIN</v>
      </c>
      <c r="R382" s="14" t="n">
        <f aca="false">IF(M382&lt;1000,0,N382/M382-1)</f>
        <v>0</v>
      </c>
    </row>
    <row r="383" customFormat="false" ht="15" hidden="false" customHeight="false" outlineLevel="0" collapsed="false">
      <c r="A383" s="25" t="n">
        <f aca="false">ROW()-5</f>
        <v>378</v>
      </c>
      <c r="B383" s="4" t="s">
        <v>913</v>
      </c>
      <c r="C383" s="4" t="s">
        <v>914</v>
      </c>
      <c r="D383" s="4" t="s">
        <v>78</v>
      </c>
      <c r="E383" s="4" t="s">
        <v>171</v>
      </c>
      <c r="F383" s="16" t="n">
        <v>3571.42857142857</v>
      </c>
      <c r="G383" s="14" t="n">
        <f aca="false">IF(SUMIFS(F$6:F$473,D$6:D$473,D383,E$6:E$473,E383)=0,0,F383/SUMIFS(F$6:F$473,D$6:D$473,D383,E$6:E$473,E383))</f>
        <v>0.00580388290793919</v>
      </c>
      <c r="H383" s="5" t="n">
        <f aca="false">SUMIFS(Pareto_Categories!$G$6:$G$84,Pareto_Categories!$B$6:$B$84,D383,Pareto_Categories!$C$6:$C$84,E383)</f>
        <v>1.80666823968793</v>
      </c>
      <c r="I383" s="28" t="n">
        <f aca="false">G383*H383</f>
        <v>0.0104856909166414</v>
      </c>
      <c r="J383" s="29" t="n">
        <f aca="false">I383/$I$475</f>
        <v>9.06392888670225E-006</v>
      </c>
      <c r="K383" s="14" t="n">
        <f aca="false">SUM(J$6:J383)</f>
        <v>0.977195733710912</v>
      </c>
      <c r="L383" s="4" t="str">
        <f aca="false">IF(I383&lt;=0,"-",IF(K383-J383&lt;0.8,"A - top 80%",IF(K383-J383&lt;0.95,"B - next 15%","C - tail")))</f>
        <v>C - tail</v>
      </c>
      <c r="M383" s="16" t="n">
        <v>0</v>
      </c>
      <c r="N383" s="16" t="n">
        <v>3571.42857142857</v>
      </c>
      <c r="O383" s="17" t="n">
        <f aca="false">N383-M383</f>
        <v>3571.42857142857</v>
      </c>
      <c r="P383" s="14" t="str">
        <f aca="false">IF(M383&lt;1000,"new",R383)</f>
        <v>new</v>
      </c>
      <c r="Q383" s="4" t="str">
        <f aca="false">IF(LEFT(L383,1)="A",IF(R383&lt;-0.05,"2 FIX","1 PROTECT"),IF(AND(N383&gt;=300000,OR(P383="new",R383&gt;=0.25),LEFT(L383,1)&lt;&gt;"-"),"3 SCALE","4 MAINTAIN"))</f>
        <v>4 MAINTAIN</v>
      </c>
      <c r="R383" s="14" t="n">
        <f aca="false">IF(M383&lt;1000,0,N383/M383-1)</f>
        <v>0</v>
      </c>
    </row>
    <row r="384" customFormat="false" ht="15" hidden="false" customHeight="false" outlineLevel="0" collapsed="false">
      <c r="A384" s="25" t="n">
        <f aca="false">ROW()-5</f>
        <v>379</v>
      </c>
      <c r="B384" s="4" t="s">
        <v>915</v>
      </c>
      <c r="C384" s="4" t="s">
        <v>772</v>
      </c>
      <c r="D384" s="4" t="s">
        <v>78</v>
      </c>
      <c r="E384" s="4" t="s">
        <v>170</v>
      </c>
      <c r="F384" s="16" t="n">
        <v>3495.53571428571</v>
      </c>
      <c r="G384" s="14" t="n">
        <f aca="false">IF(SUMIFS(F$6:F$473,D$6:D$473,D384,E$6:E$473,E384)=0,0,F384/SUMIFS(F$6:F$473,D$6:D$473,D384,E$6:E$473,E384))</f>
        <v>0.00459970559769368</v>
      </c>
      <c r="H384" s="5" t="n">
        <f aca="false">SUMIFS(Pareto_Categories!$G$6:$G$84,Pareto_Categories!$B$6:$B$84,D384,Pareto_Categories!$C$6:$C$84,E384)</f>
        <v>2.21636597325937</v>
      </c>
      <c r="I384" s="28" t="n">
        <f aca="false">G384*H384</f>
        <v>0.0101946309737389</v>
      </c>
      <c r="J384" s="29" t="n">
        <f aca="false">I384/$I$475</f>
        <v>8.81233396127405E-006</v>
      </c>
      <c r="K384" s="14" t="n">
        <f aca="false">SUM(J$6:J384)</f>
        <v>0.977204546044873</v>
      </c>
      <c r="L384" s="4" t="str">
        <f aca="false">IF(I384&lt;=0,"-",IF(K384-J384&lt;0.8,"A - top 80%",IF(K384-J384&lt;0.95,"B - next 15%","C - tail")))</f>
        <v>C - tail</v>
      </c>
      <c r="M384" s="16" t="n">
        <v>7767.85714285714</v>
      </c>
      <c r="N384" s="16" t="n">
        <v>8233.92857142857</v>
      </c>
      <c r="O384" s="17" t="n">
        <f aca="false">N384-M384</f>
        <v>466.071428571428</v>
      </c>
      <c r="P384" s="14" t="n">
        <f aca="false">IF(M384&lt;1000,"new",R384)</f>
        <v>0.0600000000000001</v>
      </c>
      <c r="Q384" s="4" t="str">
        <f aca="false">IF(LEFT(L384,1)="A",IF(R384&lt;-0.05,"2 FIX","1 PROTECT"),IF(AND(N384&gt;=300000,OR(P384="new",R384&gt;=0.25),LEFT(L384,1)&lt;&gt;"-"),"3 SCALE","4 MAINTAIN"))</f>
        <v>4 MAINTAIN</v>
      </c>
      <c r="R384" s="14" t="n">
        <f aca="false">IF(M384&lt;1000,0,N384/M384-1)</f>
        <v>0.0600000000000001</v>
      </c>
    </row>
    <row r="385" customFormat="false" ht="15" hidden="false" customHeight="false" outlineLevel="0" collapsed="false">
      <c r="A385" s="25" t="n">
        <f aca="false">ROW()-5</f>
        <v>380</v>
      </c>
      <c r="B385" s="4" t="s">
        <v>853</v>
      </c>
      <c r="C385" s="4" t="s">
        <v>854</v>
      </c>
      <c r="D385" s="4" t="s">
        <v>83</v>
      </c>
      <c r="E385" s="4" t="s">
        <v>179</v>
      </c>
      <c r="F385" s="16" t="n">
        <v>4169.64285714286</v>
      </c>
      <c r="G385" s="14" t="n">
        <f aca="false">IF(SUMIFS(F$6:F$473,D$6:D$473,D385,E$6:E$473,E385)=0,0,F385/SUMIFS(F$6:F$473,D$6:D$473,D385,E$6:E$473,E385))</f>
        <v>0.000583604901231431</v>
      </c>
      <c r="H385" s="5" t="n">
        <f aca="false">SUMIFS(Pareto_Categories!$G$6:$G$84,Pareto_Categories!$B$6:$B$84,D385,Pareto_Categories!$C$6:$C$84,E385)</f>
        <v>17.1493362305561</v>
      </c>
      <c r="I385" s="28" t="n">
        <f aca="false">G385*H385</f>
        <v>0.0100084366770183</v>
      </c>
      <c r="J385" s="29" t="n">
        <f aca="false">I385/$I$475</f>
        <v>8.65138587707038E-006</v>
      </c>
      <c r="K385" s="14" t="n">
        <f aca="false">SUM(J$6:J385)</f>
        <v>0.97721319743075</v>
      </c>
      <c r="L385" s="4" t="str">
        <f aca="false">IF(I385&lt;=0,"-",IF(K385-J385&lt;0.8,"A - top 80%",IF(K385-J385&lt;0.95,"B - next 15%","C - tail")))</f>
        <v>C - tail</v>
      </c>
      <c r="M385" s="16" t="n">
        <v>9687.5</v>
      </c>
      <c r="N385" s="16" t="n">
        <v>6687.5</v>
      </c>
      <c r="O385" s="17" t="n">
        <f aca="false">N385-M385</f>
        <v>-3000</v>
      </c>
      <c r="P385" s="14" t="n">
        <f aca="false">IF(M385&lt;1000,"new",R385)</f>
        <v>-0.309677419354839</v>
      </c>
      <c r="Q385" s="4" t="str">
        <f aca="false">IF(LEFT(L385,1)="A",IF(R385&lt;-0.05,"2 FIX","1 PROTECT"),IF(AND(N385&gt;=300000,OR(P385="new",R385&gt;=0.25),LEFT(L385,1)&lt;&gt;"-"),"3 SCALE","4 MAINTAIN"))</f>
        <v>4 MAINTAIN</v>
      </c>
      <c r="R385" s="14" t="n">
        <f aca="false">IF(M385&lt;1000,0,N385/M385-1)</f>
        <v>-0.309677419354839</v>
      </c>
    </row>
    <row r="386" customFormat="false" ht="15" hidden="false" customHeight="false" outlineLevel="0" collapsed="false">
      <c r="A386" s="25" t="n">
        <f aca="false">ROW()-5</f>
        <v>381</v>
      </c>
      <c r="B386" s="4" t="s">
        <v>916</v>
      </c>
      <c r="C386" s="4" t="s">
        <v>917</v>
      </c>
      <c r="D386" s="4" t="s">
        <v>83</v>
      </c>
      <c r="E386" s="4" t="s">
        <v>159</v>
      </c>
      <c r="F386" s="16" t="n">
        <v>1873.21428571429</v>
      </c>
      <c r="G386" s="14" t="n">
        <f aca="false">IF(SUMIFS(F$6:F$473,D$6:D$473,D386,E$6:E$473,E386)=0,0,F386/SUMIFS(F$6:F$473,D$6:D$473,D386,E$6:E$473,E386))</f>
        <v>0.204922836491502</v>
      </c>
      <c r="H386" s="5" t="n">
        <f aca="false">SUMIFS(Pareto_Categories!$G$6:$G$84,Pareto_Categories!$B$6:$B$84,D386,Pareto_Categories!$C$6:$C$84,E386)</f>
        <v>0.0478333615708872</v>
      </c>
      <c r="I386" s="28" t="n">
        <f aca="false">G386*H386</f>
        <v>0.00980214813202983</v>
      </c>
      <c r="J386" s="29" t="n">
        <f aca="false">I386/$I$475</f>
        <v>8.47306813751646E-006</v>
      </c>
      <c r="K386" s="14" t="n">
        <f aca="false">SUM(J$6:J386)</f>
        <v>0.977221670498888</v>
      </c>
      <c r="L386" s="4" t="str">
        <f aca="false">IF(I386&lt;=0,"-",IF(K386-J386&lt;0.8,"A - top 80%",IF(K386-J386&lt;0.95,"B - next 15%","C - tail")))</f>
        <v>C - tail</v>
      </c>
      <c r="M386" s="16" t="n">
        <v>18732.1428571429</v>
      </c>
      <c r="N386" s="16" t="n">
        <v>7492.85714285714</v>
      </c>
      <c r="O386" s="17" t="n">
        <f aca="false">N386-M386</f>
        <v>-11239.2857142857</v>
      </c>
      <c r="P386" s="14" t="n">
        <f aca="false">IF(M386&lt;1000,"new",R386)</f>
        <v>-0.6</v>
      </c>
      <c r="Q386" s="4" t="str">
        <f aca="false">IF(LEFT(L386,1)="A",IF(R386&lt;-0.05,"2 FIX","1 PROTECT"),IF(AND(N386&gt;=300000,OR(P386="new",R386&gt;=0.25),LEFT(L386,1)&lt;&gt;"-"),"3 SCALE","4 MAINTAIN"))</f>
        <v>4 MAINTAIN</v>
      </c>
      <c r="R386" s="14" t="n">
        <f aca="false">IF(M386&lt;1000,0,N386/M386-1)</f>
        <v>-0.6</v>
      </c>
    </row>
    <row r="387" customFormat="false" ht="15" hidden="false" customHeight="false" outlineLevel="0" collapsed="false">
      <c r="A387" s="25" t="n">
        <f aca="false">ROW()-5</f>
        <v>382</v>
      </c>
      <c r="B387" s="4" t="s">
        <v>918</v>
      </c>
      <c r="C387" s="4" t="s">
        <v>919</v>
      </c>
      <c r="D387" s="4" t="s">
        <v>78</v>
      </c>
      <c r="E387" s="4" t="s">
        <v>169</v>
      </c>
      <c r="F387" s="16" t="n">
        <v>2131.25</v>
      </c>
      <c r="G387" s="14" t="n">
        <f aca="false">IF(SUMIFS(F$6:F$473,D$6:D$473,D387,E$6:E$473,E387)=0,0,F387/SUMIFS(F$6:F$473,D$6:D$473,D387,E$6:E$473,E387))</f>
        <v>0.0019591058204402</v>
      </c>
      <c r="H387" s="5" t="n">
        <f aca="false">SUMIFS(Pareto_Categories!$G$6:$G$84,Pareto_Categories!$B$6:$B$84,D387,Pareto_Categories!$C$6:$C$84,E387)</f>
        <v>4.89526180272377</v>
      </c>
      <c r="I387" s="28" t="n">
        <f aca="false">G387*H387</f>
        <v>0.0095903358902947</v>
      </c>
      <c r="J387" s="29" t="n">
        <f aca="false">I387/$I$475</f>
        <v>8.28997566304982E-006</v>
      </c>
      <c r="K387" s="14" t="n">
        <f aca="false">SUM(J$6:J387)</f>
        <v>0.977229960474551</v>
      </c>
      <c r="L387" s="4" t="str">
        <f aca="false">IF(I387&lt;=0,"-",IF(K387-J387&lt;0.8,"A - top 80%",IF(K387-J387&lt;0.95,"B - next 15%","C - tail")))</f>
        <v>C - tail</v>
      </c>
      <c r="M387" s="16" t="n">
        <v>0</v>
      </c>
      <c r="N387" s="16" t="n">
        <v>2131.25</v>
      </c>
      <c r="O387" s="17" t="n">
        <f aca="false">N387-M387</f>
        <v>2131.25</v>
      </c>
      <c r="P387" s="14" t="str">
        <f aca="false">IF(M387&lt;1000,"new",R387)</f>
        <v>new</v>
      </c>
      <c r="Q387" s="4" t="str">
        <f aca="false">IF(LEFT(L387,1)="A",IF(R387&lt;-0.05,"2 FIX","1 PROTECT"),IF(AND(N387&gt;=300000,OR(P387="new",R387&gt;=0.25),LEFT(L387,1)&lt;&gt;"-"),"3 SCALE","4 MAINTAIN"))</f>
        <v>4 MAINTAIN</v>
      </c>
      <c r="R387" s="14" t="n">
        <f aca="false">IF(M387&lt;1000,0,N387/M387-1)</f>
        <v>0</v>
      </c>
    </row>
    <row r="388" customFormat="false" ht="15" hidden="false" customHeight="false" outlineLevel="0" collapsed="false">
      <c r="A388" s="25" t="n">
        <f aca="false">ROW()-5</f>
        <v>383</v>
      </c>
      <c r="B388" s="4" t="s">
        <v>920</v>
      </c>
      <c r="C388" s="4" t="s">
        <v>921</v>
      </c>
      <c r="D388" s="4" t="s">
        <v>83</v>
      </c>
      <c r="E388" s="4" t="s">
        <v>226</v>
      </c>
      <c r="F388" s="16" t="n">
        <v>1932.14285714286</v>
      </c>
      <c r="G388" s="14" t="n">
        <f aca="false">IF(SUMIFS(F$6:F$473,D$6:D$473,D388,E$6:E$473,E388)=0,0,F388/SUMIFS(F$6:F$473,D$6:D$473,D388,E$6:E$473,E388))</f>
        <v>0.0134060215586668</v>
      </c>
      <c r="H388" s="5" t="n">
        <f aca="false">SUMIFS(Pareto_Categories!$G$6:$G$84,Pareto_Categories!$B$6:$B$84,D388,Pareto_Categories!$C$6:$C$84,E388)</f>
        <v>0.702899355173986</v>
      </c>
      <c r="I388" s="28" t="n">
        <f aca="false">G388*H388</f>
        <v>0.00942308390903547</v>
      </c>
      <c r="J388" s="29" t="n">
        <f aca="false">I388/$I$475</f>
        <v>8.14540149275001E-006</v>
      </c>
      <c r="K388" s="14" t="n">
        <f aca="false">SUM(J$6:J388)</f>
        <v>0.977238105876044</v>
      </c>
      <c r="L388" s="4" t="str">
        <f aca="false">IF(I388&lt;=0,"-",IF(K388-J388&lt;0.8,"A - top 80%",IF(K388-J388&lt;0.95,"B - next 15%","C - tail")))</f>
        <v>C - tail</v>
      </c>
      <c r="M388" s="16" t="n">
        <v>16423.2142857143</v>
      </c>
      <c r="N388" s="16" t="n">
        <v>6762.5</v>
      </c>
      <c r="O388" s="17" t="n">
        <f aca="false">N388-M388</f>
        <v>-9660.71428571428</v>
      </c>
      <c r="P388" s="14" t="n">
        <f aca="false">IF(M388&lt;1000,"new",R388)</f>
        <v>-0.588235294117647</v>
      </c>
      <c r="Q388" s="4" t="str">
        <f aca="false">IF(LEFT(L388,1)="A",IF(R388&lt;-0.05,"2 FIX","1 PROTECT"),IF(AND(N388&gt;=300000,OR(P388="new",R388&gt;=0.25),LEFT(L388,1)&lt;&gt;"-"),"3 SCALE","4 MAINTAIN"))</f>
        <v>4 MAINTAIN</v>
      </c>
      <c r="R388" s="14" t="n">
        <f aca="false">IF(M388&lt;1000,0,N388/M388-1)</f>
        <v>-0.588235294117647</v>
      </c>
    </row>
    <row r="389" customFormat="false" ht="15" hidden="false" customHeight="false" outlineLevel="0" collapsed="false">
      <c r="A389" s="25" t="n">
        <f aca="false">ROW()-5</f>
        <v>384</v>
      </c>
      <c r="B389" s="4" t="s">
        <v>922</v>
      </c>
      <c r="C389" s="4" t="s">
        <v>923</v>
      </c>
      <c r="D389" s="4" t="s">
        <v>83</v>
      </c>
      <c r="E389" s="4" t="s">
        <v>226</v>
      </c>
      <c r="F389" s="16" t="n">
        <v>1932.14285714286</v>
      </c>
      <c r="G389" s="14" t="n">
        <f aca="false">IF(SUMIFS(F$6:F$473,D$6:D$473,D389,E$6:E$473,E389)=0,0,F389/SUMIFS(F$6:F$473,D$6:D$473,D389,E$6:E$473,E389))</f>
        <v>0.0134060215586668</v>
      </c>
      <c r="H389" s="5" t="n">
        <f aca="false">SUMIFS(Pareto_Categories!$G$6:$G$84,Pareto_Categories!$B$6:$B$84,D389,Pareto_Categories!$C$6:$C$84,E389)</f>
        <v>0.702899355173986</v>
      </c>
      <c r="I389" s="28" t="n">
        <f aca="false">G389*H389</f>
        <v>0.00942308390903547</v>
      </c>
      <c r="J389" s="29" t="n">
        <f aca="false">I389/$I$475</f>
        <v>8.14540149275001E-006</v>
      </c>
      <c r="K389" s="14" t="n">
        <f aca="false">SUM(J$6:J389)</f>
        <v>0.977246251277536</v>
      </c>
      <c r="L389" s="4" t="str">
        <f aca="false">IF(I389&lt;=0,"-",IF(K389-J389&lt;0.8,"A - top 80%",IF(K389-J389&lt;0.95,"B - next 15%","C - tail")))</f>
        <v>C - tail</v>
      </c>
      <c r="M389" s="16" t="n">
        <v>13525</v>
      </c>
      <c r="N389" s="16" t="n">
        <v>4830.35714285714</v>
      </c>
      <c r="O389" s="17" t="n">
        <f aca="false">N389-M389</f>
        <v>-8694.64285714286</v>
      </c>
      <c r="P389" s="14" t="n">
        <f aca="false">IF(M389&lt;1000,"new",R389)</f>
        <v>-0.642857142857143</v>
      </c>
      <c r="Q389" s="4" t="str">
        <f aca="false">IF(LEFT(L389,1)="A",IF(R389&lt;-0.05,"2 FIX","1 PROTECT"),IF(AND(N389&gt;=300000,OR(P389="new",R389&gt;=0.25),LEFT(L389,1)&lt;&gt;"-"),"3 SCALE","4 MAINTAIN"))</f>
        <v>4 MAINTAIN</v>
      </c>
      <c r="R389" s="14" t="n">
        <f aca="false">IF(M389&lt;1000,0,N389/M389-1)</f>
        <v>-0.642857142857143</v>
      </c>
    </row>
    <row r="390" customFormat="false" ht="15" hidden="false" customHeight="false" outlineLevel="0" collapsed="false">
      <c r="A390" s="25" t="n">
        <f aca="false">ROW()-5</f>
        <v>385</v>
      </c>
      <c r="B390" s="4" t="s">
        <v>924</v>
      </c>
      <c r="C390" s="4" t="s">
        <v>925</v>
      </c>
      <c r="D390" s="4" t="s">
        <v>78</v>
      </c>
      <c r="E390" s="4" t="s">
        <v>171</v>
      </c>
      <c r="F390" s="16" t="n">
        <v>3125</v>
      </c>
      <c r="G390" s="14" t="n">
        <f aca="false">IF(SUMIFS(F$6:F$473,D$6:D$473,D390,E$6:E$473,E390)=0,0,F390/SUMIFS(F$6:F$473,D$6:D$473,D390,E$6:E$473,E390))</f>
        <v>0.00507839754444679</v>
      </c>
      <c r="H390" s="5" t="n">
        <f aca="false">SUMIFS(Pareto_Categories!$G$6:$G$84,Pareto_Categories!$B$6:$B$84,D390,Pareto_Categories!$C$6:$C$84,E390)</f>
        <v>1.80666823968793</v>
      </c>
      <c r="I390" s="28" t="n">
        <f aca="false">G390*H390</f>
        <v>0.00917497955206119</v>
      </c>
      <c r="J390" s="29" t="n">
        <f aca="false">I390/$I$475</f>
        <v>7.93093777586447E-006</v>
      </c>
      <c r="K390" s="14" t="n">
        <f aca="false">SUM(J$6:J390)</f>
        <v>0.977254182215312</v>
      </c>
      <c r="L390" s="4" t="str">
        <f aca="false">IF(I390&lt;=0,"-",IF(K390-J390&lt;0.8,"A - top 80%",IF(K390-J390&lt;0.95,"B - next 15%","C - tail")))</f>
        <v>C - tail</v>
      </c>
      <c r="M390" s="16" t="n">
        <v>11437.5</v>
      </c>
      <c r="N390" s="16" t="n">
        <v>9437.5</v>
      </c>
      <c r="O390" s="17" t="n">
        <f aca="false">N390-M390</f>
        <v>-2000</v>
      </c>
      <c r="P390" s="14" t="n">
        <f aca="false">IF(M390&lt;1000,"new",R390)</f>
        <v>-0.174863387978142</v>
      </c>
      <c r="Q390" s="4" t="str">
        <f aca="false">IF(LEFT(L390,1)="A",IF(R390&lt;-0.05,"2 FIX","1 PROTECT"),IF(AND(N390&gt;=300000,OR(P390="new",R390&gt;=0.25),LEFT(L390,1)&lt;&gt;"-"),"3 SCALE","4 MAINTAIN"))</f>
        <v>4 MAINTAIN</v>
      </c>
      <c r="R390" s="14" t="n">
        <f aca="false">IF(M390&lt;1000,0,N390/M390-1)</f>
        <v>-0.174863387978142</v>
      </c>
    </row>
    <row r="391" customFormat="false" ht="15" hidden="false" customHeight="false" outlineLevel="0" collapsed="false">
      <c r="A391" s="25" t="n">
        <f aca="false">ROW()-5</f>
        <v>386</v>
      </c>
      <c r="B391" s="4" t="s">
        <v>926</v>
      </c>
      <c r="C391" s="4" t="s">
        <v>927</v>
      </c>
      <c r="D391" s="4" t="s">
        <v>83</v>
      </c>
      <c r="E391" s="4" t="s">
        <v>226</v>
      </c>
      <c r="F391" s="16" t="n">
        <v>1821.42857142857</v>
      </c>
      <c r="G391" s="14" t="n">
        <f aca="false">IF(SUMIFS(F$6:F$473,D$6:D$473,D391,E$6:E$473,E391)=0,0,F391/SUMIFS(F$6:F$473,D$6:D$473,D391,E$6:E$473,E391))</f>
        <v>0.0126378391773015</v>
      </c>
      <c r="H391" s="5" t="n">
        <f aca="false">SUMIFS(Pareto_Categories!$G$6:$G$84,Pareto_Categories!$B$6:$B$84,D391,Pareto_Categories!$C$6:$C$84,E391)</f>
        <v>0.702899355173986</v>
      </c>
      <c r="I391" s="28" t="n">
        <f aca="false">G391*H391</f>
        <v>0.00888312900851772</v>
      </c>
      <c r="J391" s="29" t="n">
        <f aca="false">I391/$I$475</f>
        <v>7.67865944787893E-006</v>
      </c>
      <c r="K391" s="14" t="n">
        <f aca="false">SUM(J$6:J391)</f>
        <v>0.97726186087476</v>
      </c>
      <c r="L391" s="4" t="str">
        <f aca="false">IF(I391&lt;=0,"-",IF(K391-J391&lt;0.8,"A - top 80%",IF(K391-J391&lt;0.95,"B - next 15%","C - tail")))</f>
        <v>C - tail</v>
      </c>
      <c r="M391" s="16" t="n">
        <v>1821.42857142857</v>
      </c>
      <c r="N391" s="16" t="n">
        <v>3187.5</v>
      </c>
      <c r="O391" s="17" t="n">
        <f aca="false">N391-M391</f>
        <v>1366.07142857143</v>
      </c>
      <c r="P391" s="14" t="n">
        <f aca="false">IF(M391&lt;1000,"new",R391)</f>
        <v>0.75</v>
      </c>
      <c r="Q391" s="4" t="str">
        <f aca="false">IF(LEFT(L391,1)="A",IF(R391&lt;-0.05,"2 FIX","1 PROTECT"),IF(AND(N391&gt;=300000,OR(P391="new",R391&gt;=0.25),LEFT(L391,1)&lt;&gt;"-"),"3 SCALE","4 MAINTAIN"))</f>
        <v>4 MAINTAIN</v>
      </c>
      <c r="R391" s="14" t="n">
        <f aca="false">IF(M391&lt;1000,0,N391/M391-1)</f>
        <v>0.75</v>
      </c>
    </row>
    <row r="392" customFormat="false" ht="15" hidden="false" customHeight="false" outlineLevel="0" collapsed="false">
      <c r="A392" s="25" t="n">
        <f aca="false">ROW()-5</f>
        <v>387</v>
      </c>
      <c r="B392" s="4" t="s">
        <v>928</v>
      </c>
      <c r="C392" s="4" t="s">
        <v>929</v>
      </c>
      <c r="D392" s="4" t="s">
        <v>83</v>
      </c>
      <c r="E392" s="4" t="s">
        <v>226</v>
      </c>
      <c r="F392" s="16" t="n">
        <v>1807.14285714286</v>
      </c>
      <c r="G392" s="14" t="n">
        <f aca="false">IF(SUMIFS(F$6:F$473,D$6:D$473,D392,E$6:E$473,E392)=0,0,F392/SUMIFS(F$6:F$473,D$6:D$473,D392,E$6:E$473,E392))</f>
        <v>0.0125387188700285</v>
      </c>
      <c r="H392" s="5" t="n">
        <f aca="false">SUMIFS(Pareto_Categories!$G$6:$G$84,Pareto_Categories!$B$6:$B$84,D392,Pareto_Categories!$C$6:$C$84,E392)</f>
        <v>0.702899355173986</v>
      </c>
      <c r="I392" s="28" t="n">
        <f aca="false">G392*H392</f>
        <v>0.00881345740845092</v>
      </c>
      <c r="J392" s="29" t="n">
        <f aca="false">I392/$I$475</f>
        <v>7.61843466789557E-006</v>
      </c>
      <c r="K392" s="14" t="n">
        <f aca="false">SUM(J$6:J392)</f>
        <v>0.977269479309428</v>
      </c>
      <c r="L392" s="4" t="str">
        <f aca="false">IF(I392&lt;=0,"-",IF(K392-J392&lt;0.8,"A - top 80%",IF(K392-J392&lt;0.95,"B - next 15%","C - tail")))</f>
        <v>C - tail</v>
      </c>
      <c r="M392" s="16" t="n">
        <v>0</v>
      </c>
      <c r="N392" s="16" t="n">
        <v>1807.14285714286</v>
      </c>
      <c r="O392" s="17" t="n">
        <f aca="false">N392-M392</f>
        <v>1807.14285714286</v>
      </c>
      <c r="P392" s="14" t="str">
        <f aca="false">IF(M392&lt;1000,"new",R392)</f>
        <v>new</v>
      </c>
      <c r="Q392" s="4" t="str">
        <f aca="false">IF(LEFT(L392,1)="A",IF(R392&lt;-0.05,"2 FIX","1 PROTECT"),IF(AND(N392&gt;=300000,OR(P392="new",R392&gt;=0.25),LEFT(L392,1)&lt;&gt;"-"),"3 SCALE","4 MAINTAIN"))</f>
        <v>4 MAINTAIN</v>
      </c>
      <c r="R392" s="14" t="n">
        <f aca="false">IF(M392&lt;1000,0,N392/M392-1)</f>
        <v>0</v>
      </c>
    </row>
    <row r="393" customFormat="false" ht="15" hidden="false" customHeight="false" outlineLevel="0" collapsed="false">
      <c r="A393" s="25" t="n">
        <f aca="false">ROW()-5</f>
        <v>388</v>
      </c>
      <c r="B393" s="4" t="s">
        <v>930</v>
      </c>
      <c r="C393" s="4" t="s">
        <v>931</v>
      </c>
      <c r="D393" s="4" t="s">
        <v>83</v>
      </c>
      <c r="E393" s="4" t="s">
        <v>226</v>
      </c>
      <c r="F393" s="16" t="n">
        <v>1769.64285714286</v>
      </c>
      <c r="G393" s="14" t="n">
        <f aca="false">IF(SUMIFS(F$6:F$473,D$6:D$473,D393,E$6:E$473,E393)=0,0,F393/SUMIFS(F$6:F$473,D$6:D$473,D393,E$6:E$473,E393))</f>
        <v>0.012278528063437</v>
      </c>
      <c r="H393" s="5" t="n">
        <f aca="false">SUMIFS(Pareto_Categories!$G$6:$G$84,Pareto_Categories!$B$6:$B$84,D393,Pareto_Categories!$C$6:$C$84,E393)</f>
        <v>0.702899355173986</v>
      </c>
      <c r="I393" s="28" t="n">
        <f aca="false">G393*H393</f>
        <v>0.00863056945827555</v>
      </c>
      <c r="J393" s="29" t="n">
        <f aca="false">I393/$I$475</f>
        <v>7.46034462043924E-006</v>
      </c>
      <c r="K393" s="14" t="n">
        <f aca="false">SUM(J$6:J393)</f>
        <v>0.977276939654049</v>
      </c>
      <c r="L393" s="4" t="str">
        <f aca="false">IF(I393&lt;=0,"-",IF(K393-J393&lt;0.8,"A - top 80%",IF(K393-J393&lt;0.95,"B - next 15%","C - tail")))</f>
        <v>C - tail</v>
      </c>
      <c r="M393" s="16" t="n">
        <v>14157.1428571429</v>
      </c>
      <c r="N393" s="16" t="n">
        <v>3539.28571428571</v>
      </c>
      <c r="O393" s="17" t="n">
        <f aca="false">N393-M393</f>
        <v>-10617.8571428571</v>
      </c>
      <c r="P393" s="14" t="n">
        <f aca="false">IF(M393&lt;1000,"new",R393)</f>
        <v>-0.75</v>
      </c>
      <c r="Q393" s="4" t="str">
        <f aca="false">IF(LEFT(L393,1)="A",IF(R393&lt;-0.05,"2 FIX","1 PROTECT"),IF(AND(N393&gt;=300000,OR(P393="new",R393&gt;=0.25),LEFT(L393,1)&lt;&gt;"-"),"3 SCALE","4 MAINTAIN"))</f>
        <v>4 MAINTAIN</v>
      </c>
      <c r="R393" s="14" t="n">
        <f aca="false">IF(M393&lt;1000,0,N393/M393-1)</f>
        <v>-0.75</v>
      </c>
    </row>
    <row r="394" customFormat="false" ht="15" hidden="false" customHeight="false" outlineLevel="0" collapsed="false">
      <c r="A394" s="25" t="n">
        <f aca="false">ROW()-5</f>
        <v>389</v>
      </c>
      <c r="B394" s="4" t="s">
        <v>932</v>
      </c>
      <c r="C394" s="4" t="s">
        <v>933</v>
      </c>
      <c r="D394" s="4" t="s">
        <v>83</v>
      </c>
      <c r="E394" s="4" t="s">
        <v>226</v>
      </c>
      <c r="F394" s="16" t="n">
        <v>1757.14285714286</v>
      </c>
      <c r="G394" s="14" t="n">
        <f aca="false">IF(SUMIFS(F$6:F$473,D$6:D$473,D394,E$6:E$473,E394)=0,0,F394/SUMIFS(F$6:F$473,D$6:D$473,D394,E$6:E$473,E394))</f>
        <v>0.0121917977945732</v>
      </c>
      <c r="H394" s="5" t="n">
        <f aca="false">SUMIFS(Pareto_Categories!$G$6:$G$84,Pareto_Categories!$B$6:$B$84,D394,Pareto_Categories!$C$6:$C$84,E394)</f>
        <v>0.702899355173986</v>
      </c>
      <c r="I394" s="28" t="n">
        <f aca="false">G394*H394</f>
        <v>0.0085696068082171</v>
      </c>
      <c r="J394" s="29" t="n">
        <f aca="false">I394/$I$475</f>
        <v>7.40764793795379E-006</v>
      </c>
      <c r="K394" s="14" t="n">
        <f aca="false">SUM(J$6:J394)</f>
        <v>0.977284347301986</v>
      </c>
      <c r="L394" s="4" t="str">
        <f aca="false">IF(I394&lt;=0,"-",IF(K394-J394&lt;0.8,"A - top 80%",IF(K394-J394&lt;0.95,"B - next 15%","C - tail")))</f>
        <v>C - tail</v>
      </c>
      <c r="M394" s="16" t="n">
        <v>0</v>
      </c>
      <c r="N394" s="16" t="n">
        <v>1757.14285714286</v>
      </c>
      <c r="O394" s="17" t="n">
        <f aca="false">N394-M394</f>
        <v>1757.14285714286</v>
      </c>
      <c r="P394" s="14" t="str">
        <f aca="false">IF(M394&lt;1000,"new",R394)</f>
        <v>new</v>
      </c>
      <c r="Q394" s="4" t="str">
        <f aca="false">IF(LEFT(L394,1)="A",IF(R394&lt;-0.05,"2 FIX","1 PROTECT"),IF(AND(N394&gt;=300000,OR(P394="new",R394&gt;=0.25),LEFT(L394,1)&lt;&gt;"-"),"3 SCALE","4 MAINTAIN"))</f>
        <v>4 MAINTAIN</v>
      </c>
      <c r="R394" s="14" t="n">
        <f aca="false">IF(M394&lt;1000,0,N394/M394-1)</f>
        <v>0</v>
      </c>
    </row>
    <row r="395" customFormat="false" ht="15" hidden="false" customHeight="false" outlineLevel="0" collapsed="false">
      <c r="A395" s="25" t="n">
        <f aca="false">ROW()-5</f>
        <v>390</v>
      </c>
      <c r="B395" s="4" t="s">
        <v>346</v>
      </c>
      <c r="C395" s="4" t="s">
        <v>347</v>
      </c>
      <c r="D395" s="4" t="s">
        <v>83</v>
      </c>
      <c r="E395" s="4" t="s">
        <v>227</v>
      </c>
      <c r="F395" s="16" t="n">
        <v>1353783.03571429</v>
      </c>
      <c r="G395" s="14" t="n">
        <f aca="false">IF(SUMIFS(F$6:F$473,D$6:D$473,D395,E$6:E$473,E395)=0,0,F395/SUMIFS(F$6:F$473,D$6:D$473,D395,E$6:E$473,E395))</f>
        <v>0.082580714524151</v>
      </c>
      <c r="H395" s="5" t="n">
        <f aca="false">SUMIFS(Pareto_Categories!$G$6:$G$84,Pareto_Categories!$B$6:$B$84,D395,Pareto_Categories!$C$6:$C$84,E395)</f>
        <v>0.0907491325725196</v>
      </c>
      <c r="I395" s="28" t="n">
        <f aca="false">G395*H395</f>
        <v>0.00749412821028558</v>
      </c>
      <c r="J395" s="29" t="n">
        <f aca="false">I395/$I$475</f>
        <v>6.47799422144468E-006</v>
      </c>
      <c r="K395" s="14" t="n">
        <f aca="false">SUM(J$6:J395)</f>
        <v>0.977290825296208</v>
      </c>
      <c r="L395" s="4" t="str">
        <f aca="false">IF(I395&lt;=0,"-",IF(K395-J395&lt;0.8,"A - top 80%",IF(K395-J395&lt;0.95,"B - next 15%","C - tail")))</f>
        <v>C - tail</v>
      </c>
      <c r="M395" s="16" t="n">
        <v>3558413.39285714</v>
      </c>
      <c r="N395" s="16" t="n">
        <v>2736228.57142857</v>
      </c>
      <c r="O395" s="17" t="n">
        <f aca="false">N395-M395</f>
        <v>-822184.821428572</v>
      </c>
      <c r="P395" s="14" t="n">
        <f aca="false">IF(M395&lt;1000,"new",R395)</f>
        <v>-0.231053767692915</v>
      </c>
      <c r="Q395" s="4" t="str">
        <f aca="false">IF(LEFT(L395,1)="A",IF(R395&lt;-0.05,"2 FIX","1 PROTECT"),IF(AND(N395&gt;=300000,OR(P395="new",R395&gt;=0.25),LEFT(L395,1)&lt;&gt;"-"),"3 SCALE","4 MAINTAIN"))</f>
        <v>4 MAINTAIN</v>
      </c>
      <c r="R395" s="14" t="n">
        <f aca="false">IF(M395&lt;1000,0,N395/M395-1)</f>
        <v>-0.231053767692915</v>
      </c>
    </row>
    <row r="396" customFormat="false" ht="15" hidden="false" customHeight="false" outlineLevel="0" collapsed="false">
      <c r="A396" s="25" t="n">
        <f aca="false">ROW()-5</f>
        <v>391</v>
      </c>
      <c r="B396" s="4" t="s">
        <v>934</v>
      </c>
      <c r="C396" s="4" t="s">
        <v>935</v>
      </c>
      <c r="D396" s="4" t="s">
        <v>83</v>
      </c>
      <c r="E396" s="4" t="s">
        <v>226</v>
      </c>
      <c r="F396" s="16" t="n">
        <v>1519.64285714286</v>
      </c>
      <c r="G396" s="14" t="n">
        <f aca="false">IF(SUMIFS(F$6:F$473,D$6:D$473,D396,E$6:E$473,E396)=0,0,F396/SUMIFS(F$6:F$473,D$6:D$473,D396,E$6:E$473,E396))</f>
        <v>0.0105439226861603</v>
      </c>
      <c r="H396" s="5" t="n">
        <f aca="false">SUMIFS(Pareto_Categories!$G$6:$G$84,Pareto_Categories!$B$6:$B$84,D396,Pareto_Categories!$C$6:$C$84,E396)</f>
        <v>0.702899355173986</v>
      </c>
      <c r="I396" s="28" t="n">
        <f aca="false">G396*H396</f>
        <v>0.00741131645710645</v>
      </c>
      <c r="J396" s="29" t="n">
        <f aca="false">I396/$I$475</f>
        <v>6.40641097073037E-006</v>
      </c>
      <c r="K396" s="14" t="n">
        <f aca="false">SUM(J$6:J396)</f>
        <v>0.977297231707179</v>
      </c>
      <c r="L396" s="4" t="str">
        <f aca="false">IF(I396&lt;=0,"-",IF(K396-J396&lt;0.8,"A - top 80%",IF(K396-J396&lt;0.95,"B - next 15%","C - tail")))</f>
        <v>C - tail</v>
      </c>
      <c r="M396" s="16" t="n">
        <v>9117.85714285714</v>
      </c>
      <c r="N396" s="16" t="n">
        <v>3039.28571428571</v>
      </c>
      <c r="O396" s="17" t="n">
        <f aca="false">N396-M396</f>
        <v>-6078.57142857143</v>
      </c>
      <c r="P396" s="14" t="n">
        <f aca="false">IF(M396&lt;1000,"new",R396)</f>
        <v>-0.666666666666667</v>
      </c>
      <c r="Q396" s="4" t="str">
        <f aca="false">IF(LEFT(L396,1)="A",IF(R396&lt;-0.05,"2 FIX","1 PROTECT"),IF(AND(N396&gt;=300000,OR(P396="new",R396&gt;=0.25),LEFT(L396,1)&lt;&gt;"-"),"3 SCALE","4 MAINTAIN"))</f>
        <v>4 MAINTAIN</v>
      </c>
      <c r="R396" s="14" t="n">
        <f aca="false">IF(M396&lt;1000,0,N396/M396-1)</f>
        <v>-0.666666666666667</v>
      </c>
    </row>
    <row r="397" customFormat="false" ht="15" hidden="false" customHeight="false" outlineLevel="0" collapsed="false">
      <c r="A397" s="25" t="n">
        <f aca="false">ROW()-5</f>
        <v>392</v>
      </c>
      <c r="B397" s="4" t="s">
        <v>936</v>
      </c>
      <c r="C397" s="4" t="s">
        <v>937</v>
      </c>
      <c r="D397" s="4" t="s">
        <v>83</v>
      </c>
      <c r="E397" s="4" t="s">
        <v>226</v>
      </c>
      <c r="F397" s="16" t="n">
        <v>1453.57142857143</v>
      </c>
      <c r="G397" s="14" t="n">
        <f aca="false">IF(SUMIFS(F$6:F$473,D$6:D$473,D397,E$6:E$473,E397)=0,0,F397/SUMIFS(F$6:F$473,D$6:D$473,D397,E$6:E$473,E397))</f>
        <v>0.0100854912650229</v>
      </c>
      <c r="H397" s="5" t="n">
        <f aca="false">SUMIFS(Pareto_Categories!$G$6:$G$84,Pareto_Categories!$B$6:$B$84,D397,Pareto_Categories!$C$6:$C$84,E397)</f>
        <v>0.702899355173986</v>
      </c>
      <c r="I397" s="28" t="n">
        <f aca="false">G397*H397</f>
        <v>0.00708908530679747</v>
      </c>
      <c r="J397" s="29" t="n">
        <f aca="false">I397/$I$475</f>
        <v>6.1278713633073E-006</v>
      </c>
      <c r="K397" s="14" t="n">
        <f aca="false">SUM(J$6:J397)</f>
        <v>0.977303359578542</v>
      </c>
      <c r="L397" s="4" t="str">
        <f aca="false">IF(I397&lt;=0,"-",IF(K397-J397&lt;0.8,"A - top 80%",IF(K397-J397&lt;0.95,"B - next 15%","C - tail")))</f>
        <v>C - tail</v>
      </c>
      <c r="M397" s="16" t="n">
        <v>8721.42857142857</v>
      </c>
      <c r="N397" s="16" t="n">
        <v>2907.14285714286</v>
      </c>
      <c r="O397" s="17" t="n">
        <f aca="false">N397-M397</f>
        <v>-5814.28571428571</v>
      </c>
      <c r="P397" s="14" t="n">
        <f aca="false">IF(M397&lt;1000,"new",R397)</f>
        <v>-0.666666666666667</v>
      </c>
      <c r="Q397" s="4" t="str">
        <f aca="false">IF(LEFT(L397,1)="A",IF(R397&lt;-0.05,"2 FIX","1 PROTECT"),IF(AND(N397&gt;=300000,OR(P397="new",R397&gt;=0.25),LEFT(L397,1)&lt;&gt;"-"),"3 SCALE","4 MAINTAIN"))</f>
        <v>4 MAINTAIN</v>
      </c>
      <c r="R397" s="14" t="n">
        <f aca="false">IF(M397&lt;1000,0,N397/M397-1)</f>
        <v>-0.666666666666667</v>
      </c>
    </row>
    <row r="398" customFormat="false" ht="15" hidden="false" customHeight="false" outlineLevel="0" collapsed="false">
      <c r="A398" s="25" t="n">
        <f aca="false">ROW()-5</f>
        <v>393</v>
      </c>
      <c r="B398" s="4" t="s">
        <v>938</v>
      </c>
      <c r="C398" s="4" t="s">
        <v>939</v>
      </c>
      <c r="D398" s="4" t="s">
        <v>83</v>
      </c>
      <c r="E398" s="4" t="s">
        <v>226</v>
      </c>
      <c r="F398" s="16" t="n">
        <v>1428.57142857143</v>
      </c>
      <c r="G398" s="14" t="n">
        <f aca="false">IF(SUMIFS(F$6:F$473,D$6:D$473,D398,E$6:E$473,E398)=0,0,F398/SUMIFS(F$6:F$473,D$6:D$473,D398,E$6:E$473,E398))</f>
        <v>0.00991203072729525</v>
      </c>
      <c r="H398" s="5" t="n">
        <f aca="false">SUMIFS(Pareto_Categories!$G$6:$G$84,Pareto_Categories!$B$6:$B$84,D398,Pareto_Categories!$C$6:$C$84,E398)</f>
        <v>0.702899355173986</v>
      </c>
      <c r="I398" s="28" t="n">
        <f aca="false">G398*H398</f>
        <v>0.00696716000668056</v>
      </c>
      <c r="J398" s="29" t="n">
        <f aca="false">I398/$I$475</f>
        <v>6.02247799833642E-006</v>
      </c>
      <c r="K398" s="14" t="n">
        <f aca="false">SUM(J$6:J398)</f>
        <v>0.97730938205654</v>
      </c>
      <c r="L398" s="4" t="str">
        <f aca="false">IF(I398&lt;=0,"-",IF(K398-J398&lt;0.8,"A - top 80%",IF(K398-J398&lt;0.95,"B - next 15%","C - tail")))</f>
        <v>C - tail</v>
      </c>
      <c r="M398" s="16" t="n">
        <v>4285.71428571429</v>
      </c>
      <c r="N398" s="16" t="n">
        <v>2500</v>
      </c>
      <c r="O398" s="17" t="n">
        <f aca="false">N398-M398</f>
        <v>-1785.71428571429</v>
      </c>
      <c r="P398" s="14" t="n">
        <f aca="false">IF(M398&lt;1000,"new",R398)</f>
        <v>-0.416666666666667</v>
      </c>
      <c r="Q398" s="4" t="str">
        <f aca="false">IF(LEFT(L398,1)="A",IF(R398&lt;-0.05,"2 FIX","1 PROTECT"),IF(AND(N398&gt;=300000,OR(P398="new",R398&gt;=0.25),LEFT(L398,1)&lt;&gt;"-"),"3 SCALE","4 MAINTAIN"))</f>
        <v>4 MAINTAIN</v>
      </c>
      <c r="R398" s="14" t="n">
        <f aca="false">IF(M398&lt;1000,0,N398/M398-1)</f>
        <v>-0.416666666666667</v>
      </c>
    </row>
    <row r="399" customFormat="false" ht="15" hidden="false" customHeight="false" outlineLevel="0" collapsed="false">
      <c r="A399" s="25" t="n">
        <f aca="false">ROW()-5</f>
        <v>394</v>
      </c>
      <c r="B399" s="4" t="s">
        <v>940</v>
      </c>
      <c r="C399" s="4" t="s">
        <v>941</v>
      </c>
      <c r="D399" s="4" t="s">
        <v>83</v>
      </c>
      <c r="E399" s="4" t="s">
        <v>226</v>
      </c>
      <c r="F399" s="16" t="n">
        <v>1416.96428571429</v>
      </c>
      <c r="G399" s="14" t="n">
        <f aca="false">IF(SUMIFS(F$6:F$473,D$6:D$473,D399,E$6:E$473,E399)=0,0,F399/SUMIFS(F$6:F$473,D$6:D$473,D399,E$6:E$473,E399))</f>
        <v>0.00983149547763599</v>
      </c>
      <c r="H399" s="5" t="n">
        <f aca="false">SUMIFS(Pareto_Categories!$G$6:$G$84,Pareto_Categories!$B$6:$B$84,D399,Pareto_Categories!$C$6:$C$84,E399)</f>
        <v>0.702899355173986</v>
      </c>
      <c r="I399" s="28" t="n">
        <f aca="false">G399*H399</f>
        <v>0.00691055183162629</v>
      </c>
      <c r="J399" s="29" t="n">
        <f aca="false">I399/$I$475</f>
        <v>5.97354536459994E-006</v>
      </c>
      <c r="K399" s="14" t="n">
        <f aca="false">SUM(J$6:J399)</f>
        <v>0.977315355601905</v>
      </c>
      <c r="L399" s="4" t="str">
        <f aca="false">IF(I399&lt;=0,"-",IF(K399-J399&lt;0.8,"A - top 80%",IF(K399-J399&lt;0.95,"B - next 15%","C - tail")))</f>
        <v>C - tail</v>
      </c>
      <c r="M399" s="16" t="n">
        <v>1416.96428571429</v>
      </c>
      <c r="N399" s="16" t="n">
        <v>1416.96428571429</v>
      </c>
      <c r="O399" s="17" t="n">
        <f aca="false">N399-M399</f>
        <v>0</v>
      </c>
      <c r="P399" s="14" t="n">
        <f aca="false">IF(M399&lt;1000,"new",R399)</f>
        <v>0</v>
      </c>
      <c r="Q399" s="4" t="str">
        <f aca="false">IF(LEFT(L399,1)="A",IF(R399&lt;-0.05,"2 FIX","1 PROTECT"),IF(AND(N399&gt;=300000,OR(P399="new",R399&gt;=0.25),LEFT(L399,1)&lt;&gt;"-"),"3 SCALE","4 MAINTAIN"))</f>
        <v>4 MAINTAIN</v>
      </c>
      <c r="R399" s="14" t="n">
        <f aca="false">IF(M399&lt;1000,0,N399/M399-1)</f>
        <v>0</v>
      </c>
    </row>
    <row r="400" customFormat="false" ht="15" hidden="false" customHeight="false" outlineLevel="0" collapsed="false">
      <c r="A400" s="25" t="n">
        <f aca="false">ROW()-5</f>
        <v>395</v>
      </c>
      <c r="B400" s="4" t="s">
        <v>942</v>
      </c>
      <c r="C400" s="4" t="s">
        <v>943</v>
      </c>
      <c r="D400" s="4" t="s">
        <v>83</v>
      </c>
      <c r="E400" s="4" t="s">
        <v>226</v>
      </c>
      <c r="F400" s="16" t="n">
        <v>1416.96428571429</v>
      </c>
      <c r="G400" s="14" t="n">
        <f aca="false">IF(SUMIFS(F$6:F$473,D$6:D$473,D400,E$6:E$473,E400)=0,0,F400/SUMIFS(F$6:F$473,D$6:D$473,D400,E$6:E$473,E400))</f>
        <v>0.00983149547763599</v>
      </c>
      <c r="H400" s="5" t="n">
        <f aca="false">SUMIFS(Pareto_Categories!$G$6:$G$84,Pareto_Categories!$B$6:$B$84,D400,Pareto_Categories!$C$6:$C$84,E400)</f>
        <v>0.702899355173986</v>
      </c>
      <c r="I400" s="28" t="n">
        <f aca="false">G400*H400</f>
        <v>0.00691055183162629</v>
      </c>
      <c r="J400" s="29" t="n">
        <f aca="false">I400/$I$475</f>
        <v>5.97354536459994E-006</v>
      </c>
      <c r="K400" s="14" t="n">
        <f aca="false">SUM(J$6:J400)</f>
        <v>0.977321329147269</v>
      </c>
      <c r="L400" s="4" t="str">
        <f aca="false">IF(I400&lt;=0,"-",IF(K400-J400&lt;0.8,"A - top 80%",IF(K400-J400&lt;0.95,"B - next 15%","C - tail")))</f>
        <v>C - tail</v>
      </c>
      <c r="M400" s="16" t="n">
        <v>2833.92857142857</v>
      </c>
      <c r="N400" s="16" t="n">
        <v>2833.92857142857</v>
      </c>
      <c r="O400" s="17" t="n">
        <f aca="false">N400-M400</f>
        <v>0</v>
      </c>
      <c r="P400" s="14" t="n">
        <f aca="false">IF(M400&lt;1000,"new",R400)</f>
        <v>0</v>
      </c>
      <c r="Q400" s="4" t="str">
        <f aca="false">IF(LEFT(L400,1)="A",IF(R400&lt;-0.05,"2 FIX","1 PROTECT"),IF(AND(N400&gt;=300000,OR(P400="new",R400&gt;=0.25),LEFT(L400,1)&lt;&gt;"-"),"3 SCALE","4 MAINTAIN"))</f>
        <v>4 MAINTAIN</v>
      </c>
      <c r="R400" s="14" t="n">
        <f aca="false">IF(M400&lt;1000,0,N400/M400-1)</f>
        <v>0</v>
      </c>
    </row>
    <row r="401" customFormat="false" ht="15" hidden="false" customHeight="false" outlineLevel="0" collapsed="false">
      <c r="A401" s="25" t="n">
        <f aca="false">ROW()-5</f>
        <v>396</v>
      </c>
      <c r="B401" s="4" t="s">
        <v>944</v>
      </c>
      <c r="C401" s="4" t="s">
        <v>945</v>
      </c>
      <c r="D401" s="4" t="s">
        <v>83</v>
      </c>
      <c r="E401" s="4" t="s">
        <v>226</v>
      </c>
      <c r="F401" s="16" t="n">
        <v>1416.96428571429</v>
      </c>
      <c r="G401" s="14" t="n">
        <f aca="false">IF(SUMIFS(F$6:F$473,D$6:D$473,D401,E$6:E$473,E401)=0,0,F401/SUMIFS(F$6:F$473,D$6:D$473,D401,E$6:E$473,E401))</f>
        <v>0.00983149547763599</v>
      </c>
      <c r="H401" s="5" t="n">
        <f aca="false">SUMIFS(Pareto_Categories!$G$6:$G$84,Pareto_Categories!$B$6:$B$84,D401,Pareto_Categories!$C$6:$C$84,E401)</f>
        <v>0.702899355173986</v>
      </c>
      <c r="I401" s="28" t="n">
        <f aca="false">G401*H401</f>
        <v>0.00691055183162629</v>
      </c>
      <c r="J401" s="29" t="n">
        <f aca="false">I401/$I$475</f>
        <v>5.97354536459994E-006</v>
      </c>
      <c r="K401" s="14" t="n">
        <f aca="false">SUM(J$6:J401)</f>
        <v>0.977327302692634</v>
      </c>
      <c r="L401" s="4" t="str">
        <f aca="false">IF(I401&lt;=0,"-",IF(K401-J401&lt;0.8,"A - top 80%",IF(K401-J401&lt;0.95,"B - next 15%","C - tail")))</f>
        <v>C - tail</v>
      </c>
      <c r="M401" s="16" t="n">
        <v>0</v>
      </c>
      <c r="N401" s="16" t="n">
        <v>1416.96428571429</v>
      </c>
      <c r="O401" s="17" t="n">
        <f aca="false">N401-M401</f>
        <v>1416.96428571429</v>
      </c>
      <c r="P401" s="14" t="str">
        <f aca="false">IF(M401&lt;1000,"new",R401)</f>
        <v>new</v>
      </c>
      <c r="Q401" s="4" t="str">
        <f aca="false">IF(LEFT(L401,1)="A",IF(R401&lt;-0.05,"2 FIX","1 PROTECT"),IF(AND(N401&gt;=300000,OR(P401="new",R401&gt;=0.25),LEFT(L401,1)&lt;&gt;"-"),"3 SCALE","4 MAINTAIN"))</f>
        <v>4 MAINTAIN</v>
      </c>
      <c r="R401" s="14" t="n">
        <f aca="false">IF(M401&lt;1000,0,N401/M401-1)</f>
        <v>0</v>
      </c>
    </row>
    <row r="402" customFormat="false" ht="15" hidden="false" customHeight="false" outlineLevel="0" collapsed="false">
      <c r="A402" s="25" t="n">
        <f aca="false">ROW()-5</f>
        <v>397</v>
      </c>
      <c r="B402" s="4" t="s">
        <v>946</v>
      </c>
      <c r="C402" s="4" t="s">
        <v>947</v>
      </c>
      <c r="D402" s="4" t="s">
        <v>83</v>
      </c>
      <c r="E402" s="4" t="s">
        <v>226</v>
      </c>
      <c r="F402" s="16" t="n">
        <v>1381.25</v>
      </c>
      <c r="G402" s="14" t="n">
        <f aca="false">IF(SUMIFS(F$6:F$473,D$6:D$473,D402,E$6:E$473,E402)=0,0,F402/SUMIFS(F$6:F$473,D$6:D$473,D402,E$6:E$473,E402))</f>
        <v>0.0095836947094536</v>
      </c>
      <c r="H402" s="5" t="n">
        <f aca="false">SUMIFS(Pareto_Categories!$G$6:$G$84,Pareto_Categories!$B$6:$B$84,D402,Pareto_Categories!$C$6:$C$84,E402)</f>
        <v>0.702899355173986</v>
      </c>
      <c r="I402" s="28" t="n">
        <f aca="false">G402*H402</f>
        <v>0.00673637283145927</v>
      </c>
      <c r="J402" s="29" t="n">
        <f aca="false">I402/$I$475</f>
        <v>5.82298341464153E-006</v>
      </c>
      <c r="K402" s="14" t="n">
        <f aca="false">SUM(J$6:J402)</f>
        <v>0.977333125676049</v>
      </c>
      <c r="L402" s="4" t="str">
        <f aca="false">IF(I402&lt;=0,"-",IF(K402-J402&lt;0.8,"A - top 80%",IF(K402-J402&lt;0.95,"B - next 15%","C - tail")))</f>
        <v>C - tail</v>
      </c>
      <c r="M402" s="16" t="n">
        <v>4143.75</v>
      </c>
      <c r="N402" s="16" t="n">
        <v>8287.5</v>
      </c>
      <c r="O402" s="17" t="n">
        <f aca="false">N402-M402</f>
        <v>4143.75</v>
      </c>
      <c r="P402" s="14" t="n">
        <f aca="false">IF(M402&lt;1000,"new",R402)</f>
        <v>1</v>
      </c>
      <c r="Q402" s="4" t="str">
        <f aca="false">IF(LEFT(L402,1)="A",IF(R402&lt;-0.05,"2 FIX","1 PROTECT"),IF(AND(N402&gt;=300000,OR(P402="new",R402&gt;=0.25),LEFT(L402,1)&lt;&gt;"-"),"3 SCALE","4 MAINTAIN"))</f>
        <v>4 MAINTAIN</v>
      </c>
      <c r="R402" s="14" t="n">
        <f aca="false">IF(M402&lt;1000,0,N402/M402-1)</f>
        <v>1</v>
      </c>
    </row>
    <row r="403" customFormat="false" ht="15" hidden="false" customHeight="false" outlineLevel="0" collapsed="false">
      <c r="A403" s="25" t="n">
        <f aca="false">ROW()-5</f>
        <v>398</v>
      </c>
      <c r="B403" s="4" t="s">
        <v>948</v>
      </c>
      <c r="C403" s="4" t="s">
        <v>949</v>
      </c>
      <c r="D403" s="4" t="s">
        <v>83</v>
      </c>
      <c r="E403" s="4" t="s">
        <v>226</v>
      </c>
      <c r="F403" s="16" t="n">
        <v>1381.25</v>
      </c>
      <c r="G403" s="14" t="n">
        <f aca="false">IF(SUMIFS(F$6:F$473,D$6:D$473,D403,E$6:E$473,E403)=0,0,F403/SUMIFS(F$6:F$473,D$6:D$473,D403,E$6:E$473,E403))</f>
        <v>0.0095836947094536</v>
      </c>
      <c r="H403" s="5" t="n">
        <f aca="false">SUMIFS(Pareto_Categories!$G$6:$G$84,Pareto_Categories!$B$6:$B$84,D403,Pareto_Categories!$C$6:$C$84,E403)</f>
        <v>0.702899355173986</v>
      </c>
      <c r="I403" s="28" t="n">
        <f aca="false">G403*H403</f>
        <v>0.00673637283145927</v>
      </c>
      <c r="J403" s="29" t="n">
        <f aca="false">I403/$I$475</f>
        <v>5.82298341464153E-006</v>
      </c>
      <c r="K403" s="14" t="n">
        <f aca="false">SUM(J$6:J403)</f>
        <v>0.977338948659463</v>
      </c>
      <c r="L403" s="4" t="str">
        <f aca="false">IF(I403&lt;=0,"-",IF(K403-J403&lt;0.8,"A - top 80%",IF(K403-J403&lt;0.95,"B - next 15%","C - tail")))</f>
        <v>C - tail</v>
      </c>
      <c r="M403" s="16" t="n">
        <v>6906.25</v>
      </c>
      <c r="N403" s="16" t="n">
        <v>1381.25</v>
      </c>
      <c r="O403" s="17" t="n">
        <f aca="false">N403-M403</f>
        <v>-5525</v>
      </c>
      <c r="P403" s="14" t="n">
        <f aca="false">IF(M403&lt;1000,"new",R403)</f>
        <v>-0.8</v>
      </c>
      <c r="Q403" s="4" t="str">
        <f aca="false">IF(LEFT(L403,1)="A",IF(R403&lt;-0.05,"2 FIX","1 PROTECT"),IF(AND(N403&gt;=300000,OR(P403="new",R403&gt;=0.25),LEFT(L403,1)&lt;&gt;"-"),"3 SCALE","4 MAINTAIN"))</f>
        <v>4 MAINTAIN</v>
      </c>
      <c r="R403" s="14" t="n">
        <f aca="false">IF(M403&lt;1000,0,N403/M403-1)</f>
        <v>-0.8</v>
      </c>
    </row>
    <row r="404" customFormat="false" ht="15" hidden="false" customHeight="false" outlineLevel="0" collapsed="false">
      <c r="A404" s="25" t="n">
        <f aca="false">ROW()-5</f>
        <v>399</v>
      </c>
      <c r="B404" s="4" t="s">
        <v>950</v>
      </c>
      <c r="C404" s="4" t="s">
        <v>951</v>
      </c>
      <c r="D404" s="4" t="s">
        <v>83</v>
      </c>
      <c r="E404" s="4" t="s">
        <v>226</v>
      </c>
      <c r="F404" s="16" t="n">
        <v>1355.35714285714</v>
      </c>
      <c r="G404" s="14" t="n">
        <f aca="false">IF(SUMIFS(F$6:F$473,D$6:D$473,D404,E$6:E$473,E404)=0,0,F404/SUMIFS(F$6:F$473,D$6:D$473,D404,E$6:E$473,E404))</f>
        <v>0.00940403915252138</v>
      </c>
      <c r="H404" s="5" t="n">
        <f aca="false">SUMIFS(Pareto_Categories!$G$6:$G$84,Pareto_Categories!$B$6:$B$84,D404,Pareto_Categories!$C$6:$C$84,E404)</f>
        <v>0.702899355173986</v>
      </c>
      <c r="I404" s="28" t="n">
        <f aca="false">G404*H404</f>
        <v>0.00661009305633819</v>
      </c>
      <c r="J404" s="29" t="n">
        <f aca="false">I404/$I$475</f>
        <v>5.71382600092168E-006</v>
      </c>
      <c r="K404" s="14" t="n">
        <f aca="false">SUM(J$6:J404)</f>
        <v>0.977344662485464</v>
      </c>
      <c r="L404" s="4" t="str">
        <f aca="false">IF(I404&lt;=0,"-",IF(K404-J404&lt;0.8,"A - top 80%",IF(K404-J404&lt;0.95,"B - next 15%","C - tail")))</f>
        <v>C - tail</v>
      </c>
      <c r="M404" s="16" t="n">
        <v>7228.57142857143</v>
      </c>
      <c r="N404" s="16" t="n">
        <v>4969.64285714286</v>
      </c>
      <c r="O404" s="17" t="n">
        <f aca="false">N404-M404</f>
        <v>-2258.92857142857</v>
      </c>
      <c r="P404" s="14" t="n">
        <f aca="false">IF(M404&lt;1000,"new",R404)</f>
        <v>-0.3125</v>
      </c>
      <c r="Q404" s="4" t="str">
        <f aca="false">IF(LEFT(L404,1)="A",IF(R404&lt;-0.05,"2 FIX","1 PROTECT"),IF(AND(N404&gt;=300000,OR(P404="new",R404&gt;=0.25),LEFT(L404,1)&lt;&gt;"-"),"3 SCALE","4 MAINTAIN"))</f>
        <v>4 MAINTAIN</v>
      </c>
      <c r="R404" s="14" t="n">
        <f aca="false">IF(M404&lt;1000,0,N404/M404-1)</f>
        <v>-0.3125</v>
      </c>
    </row>
    <row r="405" customFormat="false" ht="15" hidden="false" customHeight="false" outlineLevel="0" collapsed="false">
      <c r="A405" s="25" t="n">
        <f aca="false">ROW()-5</f>
        <v>400</v>
      </c>
      <c r="B405" s="4" t="s">
        <v>861</v>
      </c>
      <c r="C405" s="4" t="s">
        <v>862</v>
      </c>
      <c r="D405" s="4" t="s">
        <v>83</v>
      </c>
      <c r="E405" s="4" t="s">
        <v>179</v>
      </c>
      <c r="F405" s="16" t="n">
        <v>2651.78571428571</v>
      </c>
      <c r="G405" s="14" t="n">
        <f aca="false">IF(SUMIFS(F$6:F$473,D$6:D$473,D405,E$6:E$473,E405)=0,0,F405/SUMIFS(F$6:F$473,D$6:D$473,D405,E$6:E$473,E405))</f>
        <v>0.000371157720911638</v>
      </c>
      <c r="H405" s="5" t="n">
        <f aca="false">SUMIFS(Pareto_Categories!$G$6:$G$84,Pareto_Categories!$B$6:$B$84,D405,Pareto_Categories!$C$6:$C$84,E405)</f>
        <v>17.1493362305561</v>
      </c>
      <c r="I405" s="28" t="n">
        <f aca="false">G405*H405</f>
        <v>0.00636510855048058</v>
      </c>
      <c r="J405" s="29" t="n">
        <f aca="false">I405/$I$475</f>
        <v>5.50205911239808E-006</v>
      </c>
      <c r="K405" s="14" t="n">
        <f aca="false">SUM(J$6:J405)</f>
        <v>0.977350164544577</v>
      </c>
      <c r="L405" s="4" t="str">
        <f aca="false">IF(I405&lt;=0,"-",IF(K405-J405&lt;0.8,"A - top 80%",IF(K405-J405&lt;0.95,"B - next 15%","C - tail")))</f>
        <v>C - tail</v>
      </c>
      <c r="M405" s="16" t="n">
        <v>5687.5</v>
      </c>
      <c r="N405" s="16" t="n">
        <v>4750</v>
      </c>
      <c r="O405" s="17" t="n">
        <f aca="false">N405-M405</f>
        <v>-937.5</v>
      </c>
      <c r="P405" s="14" t="n">
        <f aca="false">IF(M405&lt;1000,"new",R405)</f>
        <v>-0.164835164835165</v>
      </c>
      <c r="Q405" s="4" t="str">
        <f aca="false">IF(LEFT(L405,1)="A",IF(R405&lt;-0.05,"2 FIX","1 PROTECT"),IF(AND(N405&gt;=300000,OR(P405="new",R405&gt;=0.25),LEFT(L405,1)&lt;&gt;"-"),"3 SCALE","4 MAINTAIN"))</f>
        <v>4 MAINTAIN</v>
      </c>
      <c r="R405" s="14" t="n">
        <f aca="false">IF(M405&lt;1000,0,N405/M405-1)</f>
        <v>-0.164835164835165</v>
      </c>
    </row>
    <row r="406" customFormat="false" ht="15" hidden="false" customHeight="false" outlineLevel="0" collapsed="false">
      <c r="A406" s="25" t="n">
        <f aca="false">ROW()-5</f>
        <v>401</v>
      </c>
      <c r="B406" s="4" t="s">
        <v>952</v>
      </c>
      <c r="C406" s="4" t="s">
        <v>953</v>
      </c>
      <c r="D406" s="4" t="s">
        <v>78</v>
      </c>
      <c r="E406" s="4" t="s">
        <v>171</v>
      </c>
      <c r="F406" s="16" t="n">
        <v>2142.85714285714</v>
      </c>
      <c r="G406" s="14" t="n">
        <f aca="false">IF(SUMIFS(F$6:F$473,D$6:D$473,D406,E$6:E$473,E406)=0,0,F406/SUMIFS(F$6:F$473,D$6:D$473,D406,E$6:E$473,E406))</f>
        <v>0.00348232974476351</v>
      </c>
      <c r="H406" s="5" t="n">
        <f aca="false">SUMIFS(Pareto_Categories!$G$6:$G$84,Pareto_Categories!$B$6:$B$84,D406,Pareto_Categories!$C$6:$C$84,E406)</f>
        <v>1.80666823968793</v>
      </c>
      <c r="I406" s="28" t="n">
        <f aca="false">G406*H406</f>
        <v>0.00629141454998482</v>
      </c>
      <c r="J406" s="29" t="n">
        <f aca="false">I406/$I$475</f>
        <v>5.43835733202135E-006</v>
      </c>
      <c r="K406" s="14" t="n">
        <f aca="false">SUM(J$6:J406)</f>
        <v>0.977355602901909</v>
      </c>
      <c r="L406" s="4" t="str">
        <f aca="false">IF(I406&lt;=0,"-",IF(K406-J406&lt;0.8,"A - top 80%",IF(K406-J406&lt;0.95,"B - next 15%","C - tail")))</f>
        <v>C - tail</v>
      </c>
      <c r="M406" s="16" t="n">
        <v>6428.57142857143</v>
      </c>
      <c r="N406" s="16" t="n">
        <v>4687.5</v>
      </c>
      <c r="O406" s="17" t="n">
        <f aca="false">N406-M406</f>
        <v>-1741.07142857143</v>
      </c>
      <c r="P406" s="14" t="n">
        <f aca="false">IF(M406&lt;1000,"new",R406)</f>
        <v>-0.270833333333333</v>
      </c>
      <c r="Q406" s="4" t="str">
        <f aca="false">IF(LEFT(L406,1)="A",IF(R406&lt;-0.05,"2 FIX","1 PROTECT"),IF(AND(N406&gt;=300000,OR(P406="new",R406&gt;=0.25),LEFT(L406,1)&lt;&gt;"-"),"3 SCALE","4 MAINTAIN"))</f>
        <v>4 MAINTAIN</v>
      </c>
      <c r="R406" s="14" t="n">
        <f aca="false">IF(M406&lt;1000,0,N406/M406-1)</f>
        <v>-0.270833333333333</v>
      </c>
    </row>
    <row r="407" customFormat="false" ht="15" hidden="false" customHeight="false" outlineLevel="0" collapsed="false">
      <c r="A407" s="25" t="n">
        <f aca="false">ROW()-5</f>
        <v>402</v>
      </c>
      <c r="B407" s="4" t="s">
        <v>306</v>
      </c>
      <c r="C407" s="4" t="s">
        <v>307</v>
      </c>
      <c r="D407" s="4" t="s">
        <v>83</v>
      </c>
      <c r="E407" s="4" t="s">
        <v>227</v>
      </c>
      <c r="F407" s="16" t="n">
        <v>1127455.35714286</v>
      </c>
      <c r="G407" s="14" t="n">
        <f aca="false">IF(SUMIFS(F$6:F$473,D$6:D$473,D407,E$6:E$473,E407)=0,0,F407/SUMIFS(F$6:F$473,D$6:D$473,D407,E$6:E$473,E407))</f>
        <v>0.0687747345997833</v>
      </c>
      <c r="H407" s="5" t="n">
        <f aca="false">SUMIFS(Pareto_Categories!$G$6:$G$84,Pareto_Categories!$B$6:$B$84,D407,Pareto_Categories!$C$6:$C$84,E407)</f>
        <v>0.0907491325725196</v>
      </c>
      <c r="I407" s="28" t="n">
        <f aca="false">G407*H407</f>
        <v>0.00624124750783559</v>
      </c>
      <c r="J407" s="29" t="n">
        <f aca="false">I407/$I$475</f>
        <v>5.39499247355741E-006</v>
      </c>
      <c r="K407" s="14" t="n">
        <f aca="false">SUM(J$6:J407)</f>
        <v>0.977360997894382</v>
      </c>
      <c r="L407" s="4" t="str">
        <f aca="false">IF(I407&lt;=0,"-",IF(K407-J407&lt;0.8,"A - top 80%",IF(K407-J407&lt;0.95,"B - next 15%","C - tail")))</f>
        <v>C - tail</v>
      </c>
      <c r="M407" s="16" t="n">
        <v>3023600.89285714</v>
      </c>
      <c r="N407" s="16" t="n">
        <v>2471538.39285714</v>
      </c>
      <c r="O407" s="17" t="n">
        <f aca="false">N407-M407</f>
        <v>-552062.5</v>
      </c>
      <c r="P407" s="14" t="n">
        <f aca="false">IF(M407&lt;1000,"new",R407)</f>
        <v>-0.182584448001777</v>
      </c>
      <c r="Q407" s="4" t="str">
        <f aca="false">IF(LEFT(L407,1)="A",IF(R407&lt;-0.05,"2 FIX","1 PROTECT"),IF(AND(N407&gt;=300000,OR(P407="new",R407&gt;=0.25),LEFT(L407,1)&lt;&gt;"-"),"3 SCALE","4 MAINTAIN"))</f>
        <v>4 MAINTAIN</v>
      </c>
      <c r="R407" s="14" t="n">
        <f aca="false">IF(M407&lt;1000,0,N407/M407-1)</f>
        <v>-0.182584448001777</v>
      </c>
    </row>
    <row r="408" customFormat="false" ht="15" hidden="false" customHeight="false" outlineLevel="0" collapsed="false">
      <c r="A408" s="25" t="n">
        <f aca="false">ROW()-5</f>
        <v>403</v>
      </c>
      <c r="B408" s="4" t="s">
        <v>954</v>
      </c>
      <c r="C408" s="4" t="s">
        <v>955</v>
      </c>
      <c r="D408" s="4" t="s">
        <v>83</v>
      </c>
      <c r="E408" s="4" t="s">
        <v>226</v>
      </c>
      <c r="F408" s="16" t="n">
        <v>1274.10714285714</v>
      </c>
      <c r="G408" s="14" t="n">
        <f aca="false">IF(SUMIFS(F$6:F$473,D$6:D$473,D408,E$6:E$473,E408)=0,0,F408/SUMIFS(F$6:F$473,D$6:D$473,D408,E$6:E$473,E408))</f>
        <v>0.00884029240490646</v>
      </c>
      <c r="H408" s="5" t="n">
        <f aca="false">SUMIFS(Pareto_Categories!$G$6:$G$84,Pareto_Categories!$B$6:$B$84,D408,Pareto_Categories!$C$6:$C$84,E408)</f>
        <v>0.702899355173986</v>
      </c>
      <c r="I408" s="28" t="n">
        <f aca="false">G408*H408</f>
        <v>0.00621383583095823</v>
      </c>
      <c r="J408" s="29" t="n">
        <f aca="false">I408/$I$475</f>
        <v>5.37129756476629E-006</v>
      </c>
      <c r="K408" s="14" t="n">
        <f aca="false">SUM(J$6:J408)</f>
        <v>0.977366369191947</v>
      </c>
      <c r="L408" s="4" t="str">
        <f aca="false">IF(I408&lt;=0,"-",IF(K408-J408&lt;0.8,"A - top 80%",IF(K408-J408&lt;0.95,"B - next 15%","C - tail")))</f>
        <v>C - tail</v>
      </c>
      <c r="M408" s="16" t="n">
        <v>6370.53571428571</v>
      </c>
      <c r="N408" s="16" t="n">
        <v>2548.21428571429</v>
      </c>
      <c r="O408" s="17" t="n">
        <f aca="false">N408-M408</f>
        <v>-3822.32142857143</v>
      </c>
      <c r="P408" s="14" t="n">
        <f aca="false">IF(M408&lt;1000,"new",R408)</f>
        <v>-0.6</v>
      </c>
      <c r="Q408" s="4" t="str">
        <f aca="false">IF(LEFT(L408,1)="A",IF(R408&lt;-0.05,"2 FIX","1 PROTECT"),IF(AND(N408&gt;=300000,OR(P408="new",R408&gt;=0.25),LEFT(L408,1)&lt;&gt;"-"),"3 SCALE","4 MAINTAIN"))</f>
        <v>4 MAINTAIN</v>
      </c>
      <c r="R408" s="14" t="n">
        <f aca="false">IF(M408&lt;1000,0,N408/M408-1)</f>
        <v>-0.6</v>
      </c>
    </row>
    <row r="409" customFormat="false" ht="15" hidden="false" customHeight="false" outlineLevel="0" collapsed="false">
      <c r="A409" s="25" t="n">
        <f aca="false">ROW()-5</f>
        <v>404</v>
      </c>
      <c r="B409" s="4" t="s">
        <v>390</v>
      </c>
      <c r="C409" s="4" t="s">
        <v>391</v>
      </c>
      <c r="D409" s="4" t="s">
        <v>83</v>
      </c>
      <c r="E409" s="4" t="s">
        <v>227</v>
      </c>
      <c r="F409" s="16" t="n">
        <v>1068589.28571429</v>
      </c>
      <c r="G409" s="14" t="n">
        <f aca="false">IF(SUMIFS(F$6:F$473,D$6:D$473,D409,E$6:E$473,E409)=0,0,F409/SUMIFS(F$6:F$473,D$6:D$473,D409,E$6:E$473,E409))</f>
        <v>0.0651839064452288</v>
      </c>
      <c r="H409" s="5" t="n">
        <f aca="false">SUMIFS(Pareto_Categories!$G$6:$G$84,Pareto_Categories!$B$6:$B$84,D409,Pareto_Categories!$C$6:$C$84,E409)</f>
        <v>0.0907491325725196</v>
      </c>
      <c r="I409" s="28" t="n">
        <f aca="false">G409*H409</f>
        <v>0.00591538296759278</v>
      </c>
      <c r="J409" s="29" t="n">
        <f aca="false">I409/$I$475</f>
        <v>5.11331213003601E-006</v>
      </c>
      <c r="K409" s="14" t="n">
        <f aca="false">SUM(J$6:J409)</f>
        <v>0.977371482504077</v>
      </c>
      <c r="L409" s="4" t="str">
        <f aca="false">IF(I409&lt;=0,"-",IF(K409-J409&lt;0.8,"A - top 80%",IF(K409-J409&lt;0.95,"B - next 15%","C - tail")))</f>
        <v>C - tail</v>
      </c>
      <c r="M409" s="16" t="n">
        <v>2892122.32142857</v>
      </c>
      <c r="N409" s="16" t="n">
        <v>2276330.35714286</v>
      </c>
      <c r="O409" s="17" t="n">
        <f aca="false">N409-M409</f>
        <v>-615791.964285714</v>
      </c>
      <c r="P409" s="14" t="n">
        <f aca="false">IF(M409&lt;1000,"new",R409)</f>
        <v>-0.21292044244572</v>
      </c>
      <c r="Q409" s="4" t="str">
        <f aca="false">IF(LEFT(L409,1)="A",IF(R409&lt;-0.05,"2 FIX","1 PROTECT"),IF(AND(N409&gt;=300000,OR(P409="new",R409&gt;=0.25),LEFT(L409,1)&lt;&gt;"-"),"3 SCALE","4 MAINTAIN"))</f>
        <v>4 MAINTAIN</v>
      </c>
      <c r="R409" s="14" t="n">
        <f aca="false">IF(M409&lt;1000,0,N409/M409-1)</f>
        <v>-0.21292044244572</v>
      </c>
    </row>
    <row r="410" customFormat="false" ht="15" hidden="false" customHeight="false" outlineLevel="0" collapsed="false">
      <c r="A410" s="25" t="n">
        <f aca="false">ROW()-5</f>
        <v>405</v>
      </c>
      <c r="B410" s="4" t="s">
        <v>956</v>
      </c>
      <c r="C410" s="4" t="s">
        <v>957</v>
      </c>
      <c r="D410" s="4" t="s">
        <v>83</v>
      </c>
      <c r="E410" s="4" t="s">
        <v>226</v>
      </c>
      <c r="F410" s="16" t="n">
        <v>1202.67857142857</v>
      </c>
      <c r="G410" s="14" t="n">
        <f aca="false">IF(SUMIFS(F$6:F$473,D$6:D$473,D410,E$6:E$473,E410)=0,0,F410/SUMIFS(F$6:F$473,D$6:D$473,D410,E$6:E$473,E410))</f>
        <v>0.00834469086854169</v>
      </c>
      <c r="H410" s="5" t="n">
        <f aca="false">SUMIFS(Pareto_Categories!$G$6:$G$84,Pareto_Categories!$B$6:$B$84,D410,Pareto_Categories!$C$6:$C$84,E410)</f>
        <v>0.702899355173986</v>
      </c>
      <c r="I410" s="28" t="n">
        <f aca="false">G410*H410</f>
        <v>0.0058654778306242</v>
      </c>
      <c r="J410" s="29" t="n">
        <f aca="false">I410/$I$475</f>
        <v>5.07017366484947E-006</v>
      </c>
      <c r="K410" s="14" t="n">
        <f aca="false">SUM(J$6:J410)</f>
        <v>0.977376552677742</v>
      </c>
      <c r="L410" s="4" t="str">
        <f aca="false">IF(I410&lt;=0,"-",IF(K410-J410&lt;0.8,"A - top 80%",IF(K410-J410&lt;0.95,"B - next 15%","C - tail")))</f>
        <v>C - tail</v>
      </c>
      <c r="M410" s="16" t="n">
        <v>400.892857142857</v>
      </c>
      <c r="N410" s="16" t="n">
        <v>1603.57142857143</v>
      </c>
      <c r="O410" s="17" t="n">
        <f aca="false">N410-M410</f>
        <v>1202.67857142857</v>
      </c>
      <c r="P410" s="14" t="str">
        <f aca="false">IF(M410&lt;1000,"new",R410)</f>
        <v>new</v>
      </c>
      <c r="Q410" s="4" t="str">
        <f aca="false">IF(LEFT(L410,1)="A",IF(R410&lt;-0.05,"2 FIX","1 PROTECT"),IF(AND(N410&gt;=300000,OR(P410="new",R410&gt;=0.25),LEFT(L410,1)&lt;&gt;"-"),"3 SCALE","4 MAINTAIN"))</f>
        <v>4 MAINTAIN</v>
      </c>
      <c r="R410" s="14" t="n">
        <f aca="false">IF(M410&lt;1000,0,N410/M410-1)</f>
        <v>0</v>
      </c>
    </row>
    <row r="411" customFormat="false" ht="15" hidden="false" customHeight="false" outlineLevel="0" collapsed="false">
      <c r="A411" s="25" t="n">
        <f aca="false">ROW()-5</f>
        <v>406</v>
      </c>
      <c r="B411" s="4" t="s">
        <v>879</v>
      </c>
      <c r="C411" s="4" t="s">
        <v>880</v>
      </c>
      <c r="D411" s="4" t="s">
        <v>83</v>
      </c>
      <c r="E411" s="4" t="s">
        <v>179</v>
      </c>
      <c r="F411" s="16" t="n">
        <v>2401.78571428571</v>
      </c>
      <c r="G411" s="14" t="n">
        <f aca="false">IF(SUMIFS(F$6:F$473,D$6:D$473,D411,E$6:E$473,E411)=0,0,F411/SUMIFS(F$6:F$473,D$6:D$473,D411,E$6:E$473,E411))</f>
        <v>0.000336166420623672</v>
      </c>
      <c r="H411" s="5" t="n">
        <f aca="false">SUMIFS(Pareto_Categories!$G$6:$G$84,Pareto_Categories!$B$6:$B$84,D411,Pareto_Categories!$C$6:$C$84,E411)</f>
        <v>17.1493362305561</v>
      </c>
      <c r="I411" s="28" t="n">
        <f aca="false">G411*H411</f>
        <v>0.00576503097669789</v>
      </c>
      <c r="J411" s="29" t="n">
        <f aca="false">I411/$I$475</f>
        <v>4.98334646880499E-006</v>
      </c>
      <c r="K411" s="14" t="n">
        <f aca="false">SUM(J$6:J411)</f>
        <v>0.977381536024211</v>
      </c>
      <c r="L411" s="4" t="str">
        <f aca="false">IF(I411&lt;=0,"-",IF(K411-J411&lt;0.8,"A - top 80%",IF(K411-J411&lt;0.95,"B - next 15%","C - tail")))</f>
        <v>C - tail</v>
      </c>
      <c r="M411" s="16" t="n">
        <v>5642.85714285714</v>
      </c>
      <c r="N411" s="16" t="n">
        <v>6758.92857142857</v>
      </c>
      <c r="O411" s="17" t="n">
        <f aca="false">N411-M411</f>
        <v>1116.07142857143</v>
      </c>
      <c r="P411" s="14" t="n">
        <f aca="false">IF(M411&lt;1000,"new",R411)</f>
        <v>0.197784810126582</v>
      </c>
      <c r="Q411" s="4" t="str">
        <f aca="false">IF(LEFT(L411,1)="A",IF(R411&lt;-0.05,"2 FIX","1 PROTECT"),IF(AND(N411&gt;=300000,OR(P411="new",R411&gt;=0.25),LEFT(L411,1)&lt;&gt;"-"),"3 SCALE","4 MAINTAIN"))</f>
        <v>4 MAINTAIN</v>
      </c>
      <c r="R411" s="14" t="n">
        <f aca="false">IF(M411&lt;1000,0,N411/M411-1)</f>
        <v>0.197784810126582</v>
      </c>
    </row>
    <row r="412" customFormat="false" ht="15" hidden="false" customHeight="false" outlineLevel="0" collapsed="false">
      <c r="A412" s="25" t="n">
        <f aca="false">ROW()-5</f>
        <v>407</v>
      </c>
      <c r="B412" s="4" t="s">
        <v>958</v>
      </c>
      <c r="C412" s="4" t="s">
        <v>959</v>
      </c>
      <c r="D412" s="4" t="s">
        <v>78</v>
      </c>
      <c r="E412" s="4" t="s">
        <v>230</v>
      </c>
      <c r="F412" s="16" t="n">
        <v>7049015.83928571</v>
      </c>
      <c r="G412" s="14" t="n">
        <f aca="false">IF(SUMIFS(F$6:F$473,D$6:D$473,D412,E$6:E$473,E412)=0,0,F412/SUMIFS(F$6:F$473,D$6:D$473,D412,E$6:E$473,E412))</f>
        <v>0.312938518930041</v>
      </c>
      <c r="H412" s="5" t="n">
        <f aca="false">SUMIFS(Pareto_Categories!$G$6:$G$84,Pareto_Categories!$B$6:$B$84,D412,Pareto_Categories!$C$6:$C$84,E412)</f>
        <v>0.0180774872904102</v>
      </c>
      <c r="I412" s="28" t="n">
        <f aca="false">G412*H412</f>
        <v>0.00565714209863762</v>
      </c>
      <c r="J412" s="29" t="n">
        <f aca="false">I412/$I$475</f>
        <v>4.89008631778791E-006</v>
      </c>
      <c r="K412" s="14" t="n">
        <f aca="false">SUM(J$6:J412)</f>
        <v>0.977386426110529</v>
      </c>
      <c r="L412" s="4" t="str">
        <f aca="false">IF(I412&lt;=0,"-",IF(K412-J412&lt;0.8,"A - top 80%",IF(K412-J412&lt;0.95,"B - next 15%","C - tail")))</f>
        <v>C - tail</v>
      </c>
      <c r="M412" s="16" t="n">
        <v>12836258.2678571</v>
      </c>
      <c r="N412" s="16" t="n">
        <v>13672489.4285714</v>
      </c>
      <c r="O412" s="17" t="n">
        <f aca="false">N412-M412</f>
        <v>836231.160714289</v>
      </c>
      <c r="P412" s="14" t="n">
        <f aca="false">IF(M412&lt;1000,"new",R412)</f>
        <v>0.0651460217817734</v>
      </c>
      <c r="Q412" s="4" t="str">
        <f aca="false">IF(LEFT(L412,1)="A",IF(R412&lt;-0.05,"2 FIX","1 PROTECT"),IF(AND(N412&gt;=300000,OR(P412="new",R412&gt;=0.25),LEFT(L412,1)&lt;&gt;"-"),"3 SCALE","4 MAINTAIN"))</f>
        <v>4 MAINTAIN</v>
      </c>
      <c r="R412" s="14" t="n">
        <f aca="false">IF(M412&lt;1000,0,N412/M412-1)</f>
        <v>0.0651460217817734</v>
      </c>
    </row>
    <row r="413" customFormat="false" ht="15" hidden="false" customHeight="false" outlineLevel="0" collapsed="false">
      <c r="A413" s="25" t="n">
        <f aca="false">ROW()-5</f>
        <v>408</v>
      </c>
      <c r="B413" s="4" t="s">
        <v>960</v>
      </c>
      <c r="C413" s="4" t="s">
        <v>961</v>
      </c>
      <c r="D413" s="4" t="s">
        <v>83</v>
      </c>
      <c r="E413" s="4" t="s">
        <v>226</v>
      </c>
      <c r="F413" s="16" t="n">
        <v>1155.35714285714</v>
      </c>
      <c r="G413" s="14" t="n">
        <f aca="false">IF(SUMIFS(F$6:F$473,D$6:D$473,D413,E$6:E$473,E413)=0,0,F413/SUMIFS(F$6:F$473,D$6:D$473,D413,E$6:E$473,E413))</f>
        <v>0.00801635485070004</v>
      </c>
      <c r="H413" s="5" t="n">
        <f aca="false">SUMIFS(Pareto_Categories!$G$6:$G$84,Pareto_Categories!$B$6:$B$84,D413,Pareto_Categories!$C$6:$C$84,E413)</f>
        <v>0.702899355173986</v>
      </c>
      <c r="I413" s="28" t="n">
        <f aca="false">G413*H413</f>
        <v>0.00563469065540291</v>
      </c>
      <c r="J413" s="29" t="n">
        <f aca="false">I413/$I$475</f>
        <v>4.87067908115458E-006</v>
      </c>
      <c r="K413" s="14" t="n">
        <f aca="false">SUM(J$6:J413)</f>
        <v>0.97739129678961</v>
      </c>
      <c r="L413" s="4" t="str">
        <f aca="false">IF(I413&lt;=0,"-",IF(K413-J413&lt;0.8,"A - top 80%",IF(K413-J413&lt;0.95,"B - next 15%","C - tail")))</f>
        <v>C - tail</v>
      </c>
      <c r="M413" s="16" t="n">
        <v>1155.35714285714</v>
      </c>
      <c r="N413" s="16" t="n">
        <v>1733.03571428571</v>
      </c>
      <c r="O413" s="17" t="n">
        <f aca="false">N413-M413</f>
        <v>577.678571428571</v>
      </c>
      <c r="P413" s="14" t="n">
        <f aca="false">IF(M413&lt;1000,"new",R413)</f>
        <v>0.5</v>
      </c>
      <c r="Q413" s="4" t="str">
        <f aca="false">IF(LEFT(L413,1)="A",IF(R413&lt;-0.05,"2 FIX","1 PROTECT"),IF(AND(N413&gt;=300000,OR(P413="new",R413&gt;=0.25),LEFT(L413,1)&lt;&gt;"-"),"3 SCALE","4 MAINTAIN"))</f>
        <v>4 MAINTAIN</v>
      </c>
      <c r="R413" s="14" t="n">
        <f aca="false">IF(M413&lt;1000,0,N413/M413-1)</f>
        <v>0.5</v>
      </c>
    </row>
    <row r="414" customFormat="false" ht="15" hidden="false" customHeight="false" outlineLevel="0" collapsed="false">
      <c r="A414" s="25" t="n">
        <f aca="false">ROW()-5</f>
        <v>409</v>
      </c>
      <c r="B414" s="4" t="s">
        <v>358</v>
      </c>
      <c r="C414" s="4" t="s">
        <v>359</v>
      </c>
      <c r="D414" s="4" t="s">
        <v>83</v>
      </c>
      <c r="E414" s="4" t="s">
        <v>224</v>
      </c>
      <c r="F414" s="16" t="n">
        <v>850</v>
      </c>
      <c r="G414" s="14" t="n">
        <f aca="false">IF(SUMIFS(F$6:F$473,D$6:D$473,D414,E$6:E$473,E414)=0,0,F414/SUMIFS(F$6:F$473,D$6:D$473,D414,E$6:E$473,E414))</f>
        <v>0.000736685873119788</v>
      </c>
      <c r="H414" s="5" t="n">
        <f aca="false">SUMIFS(Pareto_Categories!$G$6:$G$84,Pareto_Categories!$B$6:$B$84,D414,Pareto_Categories!$C$6:$C$84,E414)</f>
        <v>7.36664272281266</v>
      </c>
      <c r="I414" s="28" t="n">
        <f aca="false">G414*H414</f>
        <v>0.00542690162621677</v>
      </c>
      <c r="J414" s="29" t="n">
        <f aca="false">I414/$I$475</f>
        <v>4.69106430908543E-006</v>
      </c>
      <c r="K414" s="14" t="n">
        <f aca="false">SUM(J$6:J414)</f>
        <v>0.977395987853919</v>
      </c>
      <c r="L414" s="4" t="str">
        <f aca="false">IF(I414&lt;=0,"-",IF(K414-J414&lt;0.8,"A - top 80%",IF(K414-J414&lt;0.95,"B - next 15%","C - tail")))</f>
        <v>C - tail</v>
      </c>
      <c r="M414" s="16" t="n">
        <v>6403.57142857143</v>
      </c>
      <c r="N414" s="16" t="n">
        <v>18144.6428571429</v>
      </c>
      <c r="O414" s="17" t="n">
        <f aca="false">N414-M414</f>
        <v>11741.0714285714</v>
      </c>
      <c r="P414" s="14" t="n">
        <f aca="false">IF(M414&lt;1000,"new",R414)</f>
        <v>1.8335192414947</v>
      </c>
      <c r="Q414" s="4" t="str">
        <f aca="false">IF(LEFT(L414,1)="A",IF(R414&lt;-0.05,"2 FIX","1 PROTECT"),IF(AND(N414&gt;=300000,OR(P414="new",R414&gt;=0.25),LEFT(L414,1)&lt;&gt;"-"),"3 SCALE","4 MAINTAIN"))</f>
        <v>4 MAINTAIN</v>
      </c>
      <c r="R414" s="14" t="n">
        <f aca="false">IF(M414&lt;1000,0,N414/M414-1)</f>
        <v>1.8335192414947</v>
      </c>
    </row>
    <row r="415" customFormat="false" ht="15" hidden="false" customHeight="false" outlineLevel="0" collapsed="false">
      <c r="A415" s="25" t="n">
        <f aca="false">ROW()-5</f>
        <v>410</v>
      </c>
      <c r="B415" s="4" t="s">
        <v>962</v>
      </c>
      <c r="C415" s="4" t="s">
        <v>963</v>
      </c>
      <c r="D415" s="4" t="s">
        <v>83</v>
      </c>
      <c r="E415" s="4" t="s">
        <v>226</v>
      </c>
      <c r="F415" s="16" t="n">
        <v>1057.14285714286</v>
      </c>
      <c r="G415" s="14" t="n">
        <f aca="false">IF(SUMIFS(F$6:F$473,D$6:D$473,D415,E$6:E$473,E415)=0,0,F415/SUMIFS(F$6:F$473,D$6:D$473,D415,E$6:E$473,E415))</f>
        <v>0.00733490273819849</v>
      </c>
      <c r="H415" s="5" t="n">
        <f aca="false">SUMIFS(Pareto_Categories!$G$6:$G$84,Pareto_Categories!$B$6:$B$84,D415,Pareto_Categories!$C$6:$C$84,E415)</f>
        <v>0.702899355173986</v>
      </c>
      <c r="I415" s="28" t="n">
        <f aca="false">G415*H415</f>
        <v>0.00515569840494362</v>
      </c>
      <c r="J415" s="29" t="n">
        <f aca="false">I415/$I$475</f>
        <v>4.45663371876895E-006</v>
      </c>
      <c r="K415" s="14" t="n">
        <f aca="false">SUM(J$6:J415)</f>
        <v>0.977400444487638</v>
      </c>
      <c r="L415" s="4" t="str">
        <f aca="false">IF(I415&lt;=0,"-",IF(K415-J415&lt;0.8,"A - top 80%",IF(K415-J415&lt;0.95,"B - next 15%","C - tail")))</f>
        <v>C - tail</v>
      </c>
      <c r="M415" s="16" t="n">
        <v>528.571428571429</v>
      </c>
      <c r="N415" s="16" t="n">
        <v>2642.85714285714</v>
      </c>
      <c r="O415" s="17" t="n">
        <f aca="false">N415-M415</f>
        <v>2114.28571428571</v>
      </c>
      <c r="P415" s="14" t="str">
        <f aca="false">IF(M415&lt;1000,"new",R415)</f>
        <v>new</v>
      </c>
      <c r="Q415" s="4" t="str">
        <f aca="false">IF(LEFT(L415,1)="A",IF(R415&lt;-0.05,"2 FIX","1 PROTECT"),IF(AND(N415&gt;=300000,OR(P415="new",R415&gt;=0.25),LEFT(L415,1)&lt;&gt;"-"),"3 SCALE","4 MAINTAIN"))</f>
        <v>4 MAINTAIN</v>
      </c>
      <c r="R415" s="14" t="n">
        <f aca="false">IF(M415&lt;1000,0,N415/M415-1)</f>
        <v>0</v>
      </c>
    </row>
    <row r="416" customFormat="false" ht="15" hidden="false" customHeight="false" outlineLevel="0" collapsed="false">
      <c r="A416" s="25" t="n">
        <f aca="false">ROW()-5</f>
        <v>411</v>
      </c>
      <c r="B416" s="4" t="s">
        <v>964</v>
      </c>
      <c r="C416" s="4" t="s">
        <v>965</v>
      </c>
      <c r="D416" s="4" t="s">
        <v>83</v>
      </c>
      <c r="E416" s="4" t="s">
        <v>226</v>
      </c>
      <c r="F416" s="16" t="n">
        <v>1017.85714285714</v>
      </c>
      <c r="G416" s="14" t="n">
        <f aca="false">IF(SUMIFS(F$6:F$473,D$6:D$473,D416,E$6:E$473,E416)=0,0,F416/SUMIFS(F$6:F$473,D$6:D$473,D416,E$6:E$473,E416))</f>
        <v>0.00706232189319787</v>
      </c>
      <c r="H416" s="5" t="n">
        <f aca="false">SUMIFS(Pareto_Categories!$G$6:$G$84,Pareto_Categories!$B$6:$B$84,D416,Pareto_Categories!$C$6:$C$84,E416)</f>
        <v>0.702899355173986</v>
      </c>
      <c r="I416" s="28" t="n">
        <f aca="false">G416*H416</f>
        <v>0.00496410150475991</v>
      </c>
      <c r="J416" s="29" t="n">
        <f aca="false">I416/$I$475</f>
        <v>4.2910155738147E-006</v>
      </c>
      <c r="K416" s="14" t="n">
        <f aca="false">SUM(J$6:J416)</f>
        <v>0.977404735503211</v>
      </c>
      <c r="L416" s="4" t="str">
        <f aca="false">IF(I416&lt;=0,"-",IF(K416-J416&lt;0.8,"A - top 80%",IF(K416-J416&lt;0.95,"B - next 15%","C - tail")))</f>
        <v>C - tail</v>
      </c>
      <c r="M416" s="16" t="n">
        <v>3053.57142857143</v>
      </c>
      <c r="N416" s="16" t="n">
        <v>3053.57142857143</v>
      </c>
      <c r="O416" s="17" t="n">
        <f aca="false">N416-M416</f>
        <v>0</v>
      </c>
      <c r="P416" s="14" t="n">
        <f aca="false">IF(M416&lt;1000,"new",R416)</f>
        <v>0</v>
      </c>
      <c r="Q416" s="4" t="str">
        <f aca="false">IF(LEFT(L416,1)="A",IF(R416&lt;-0.05,"2 FIX","1 PROTECT"),IF(AND(N416&gt;=300000,OR(P416="new",R416&gt;=0.25),LEFT(L416,1)&lt;&gt;"-"),"3 SCALE","4 MAINTAIN"))</f>
        <v>4 MAINTAIN</v>
      </c>
      <c r="R416" s="14" t="n">
        <f aca="false">IF(M416&lt;1000,0,N416/M416-1)</f>
        <v>0</v>
      </c>
    </row>
    <row r="417" customFormat="false" ht="15" hidden="false" customHeight="false" outlineLevel="0" collapsed="false">
      <c r="A417" s="25" t="n">
        <f aca="false">ROW()-5</f>
        <v>412</v>
      </c>
      <c r="B417" s="4" t="s">
        <v>966</v>
      </c>
      <c r="C417" s="4" t="s">
        <v>967</v>
      </c>
      <c r="D417" s="4" t="s">
        <v>83</v>
      </c>
      <c r="E417" s="4" t="s">
        <v>226</v>
      </c>
      <c r="F417" s="16" t="n">
        <v>966.071428571428</v>
      </c>
      <c r="G417" s="14" t="n">
        <f aca="false">IF(SUMIFS(F$6:F$473,D$6:D$473,D417,E$6:E$473,E417)=0,0,F417/SUMIFS(F$6:F$473,D$6:D$473,D417,E$6:E$473,E417))</f>
        <v>0.00670301077933342</v>
      </c>
      <c r="H417" s="5" t="n">
        <f aca="false">SUMIFS(Pareto_Categories!$G$6:$G$84,Pareto_Categories!$B$6:$B$84,D417,Pareto_Categories!$C$6:$C$84,E417)</f>
        <v>0.702899355173986</v>
      </c>
      <c r="I417" s="28" t="n">
        <f aca="false">G417*H417</f>
        <v>0.00471154195451773</v>
      </c>
      <c r="J417" s="29" t="n">
        <f aca="false">I417/$I$475</f>
        <v>4.072700746375E-006</v>
      </c>
      <c r="K417" s="14" t="n">
        <f aca="false">SUM(J$6:J417)</f>
        <v>0.977408808203958</v>
      </c>
      <c r="L417" s="4" t="str">
        <f aca="false">IF(I417&lt;=0,"-",IF(K417-J417&lt;0.8,"A - top 80%",IF(K417-J417&lt;0.95,"B - next 15%","C - tail")))</f>
        <v>C - tail</v>
      </c>
      <c r="M417" s="16" t="n">
        <v>6762.5</v>
      </c>
      <c r="N417" s="16" t="n">
        <v>3864.28571428571</v>
      </c>
      <c r="O417" s="17" t="n">
        <f aca="false">N417-M417</f>
        <v>-2898.21428571429</v>
      </c>
      <c r="P417" s="14" t="n">
        <f aca="false">IF(M417&lt;1000,"new",R417)</f>
        <v>-0.428571428571429</v>
      </c>
      <c r="Q417" s="4" t="str">
        <f aca="false">IF(LEFT(L417,1)="A",IF(R417&lt;-0.05,"2 FIX","1 PROTECT"),IF(AND(N417&gt;=300000,OR(P417="new",R417&gt;=0.25),LEFT(L417,1)&lt;&gt;"-"),"3 SCALE","4 MAINTAIN"))</f>
        <v>4 MAINTAIN</v>
      </c>
      <c r="R417" s="14" t="n">
        <f aca="false">IF(M417&lt;1000,0,N417/M417-1)</f>
        <v>-0.428571428571429</v>
      </c>
    </row>
    <row r="418" customFormat="false" ht="15" hidden="false" customHeight="false" outlineLevel="0" collapsed="false">
      <c r="A418" s="25" t="n">
        <f aca="false">ROW()-5</f>
        <v>413</v>
      </c>
      <c r="B418" s="4" t="s">
        <v>968</v>
      </c>
      <c r="C418" s="4" t="s">
        <v>969</v>
      </c>
      <c r="D418" s="4" t="s">
        <v>83</v>
      </c>
      <c r="E418" s="4" t="s">
        <v>226</v>
      </c>
      <c r="F418" s="16" t="n">
        <v>966.071428571428</v>
      </c>
      <c r="G418" s="14" t="n">
        <f aca="false">IF(SUMIFS(F$6:F$473,D$6:D$473,D418,E$6:E$473,E418)=0,0,F418/SUMIFS(F$6:F$473,D$6:D$473,D418,E$6:E$473,E418))</f>
        <v>0.00670301077933342</v>
      </c>
      <c r="H418" s="5" t="n">
        <f aca="false">SUMIFS(Pareto_Categories!$G$6:$G$84,Pareto_Categories!$B$6:$B$84,D418,Pareto_Categories!$C$6:$C$84,E418)</f>
        <v>0.702899355173986</v>
      </c>
      <c r="I418" s="28" t="n">
        <f aca="false">G418*H418</f>
        <v>0.00471154195451773</v>
      </c>
      <c r="J418" s="29" t="n">
        <f aca="false">I418/$I$475</f>
        <v>4.072700746375E-006</v>
      </c>
      <c r="K418" s="14" t="n">
        <f aca="false">SUM(J$6:J418)</f>
        <v>0.977412880904704</v>
      </c>
      <c r="L418" s="4" t="str">
        <f aca="false">IF(I418&lt;=0,"-",IF(K418-J418&lt;0.8,"A - top 80%",IF(K418-J418&lt;0.95,"B - next 15%","C - tail")))</f>
        <v>C - tail</v>
      </c>
      <c r="M418" s="16" t="n">
        <v>5796.42857142857</v>
      </c>
      <c r="N418" s="16" t="n">
        <v>3864.28571428571</v>
      </c>
      <c r="O418" s="17" t="n">
        <f aca="false">N418-M418</f>
        <v>-1932.14285714286</v>
      </c>
      <c r="P418" s="14" t="n">
        <f aca="false">IF(M418&lt;1000,"new",R418)</f>
        <v>-0.333333333333333</v>
      </c>
      <c r="Q418" s="4" t="str">
        <f aca="false">IF(LEFT(L418,1)="A",IF(R418&lt;-0.05,"2 FIX","1 PROTECT"),IF(AND(N418&gt;=300000,OR(P418="new",R418&gt;=0.25),LEFT(L418,1)&lt;&gt;"-"),"3 SCALE","4 MAINTAIN"))</f>
        <v>4 MAINTAIN</v>
      </c>
      <c r="R418" s="14" t="n">
        <f aca="false">IF(M418&lt;1000,0,N418/M418-1)</f>
        <v>-0.333333333333333</v>
      </c>
    </row>
    <row r="419" customFormat="false" ht="15" hidden="false" customHeight="false" outlineLevel="0" collapsed="false">
      <c r="A419" s="25" t="n">
        <f aca="false">ROW()-5</f>
        <v>414</v>
      </c>
      <c r="B419" s="4" t="s">
        <v>970</v>
      </c>
      <c r="C419" s="4" t="s">
        <v>971</v>
      </c>
      <c r="D419" s="4" t="s">
        <v>83</v>
      </c>
      <c r="E419" s="4" t="s">
        <v>226</v>
      </c>
      <c r="F419" s="16" t="n">
        <v>924.107142857143</v>
      </c>
      <c r="G419" s="14" t="n">
        <f aca="false">IF(SUMIFS(F$6:F$473,D$6:D$473,D419,E$6:E$473,E419)=0,0,F419/SUMIFS(F$6:F$473,D$6:D$473,D419,E$6:E$473,E419))</f>
        <v>0.00641184487671912</v>
      </c>
      <c r="H419" s="5" t="n">
        <f aca="false">SUMIFS(Pareto_Categories!$G$6:$G$84,Pareto_Categories!$B$6:$B$84,D419,Pareto_Categories!$C$6:$C$84,E419)</f>
        <v>0.702899355173986</v>
      </c>
      <c r="I419" s="28" t="n">
        <f aca="false">G419*H419</f>
        <v>0.00450688162932149</v>
      </c>
      <c r="J419" s="29" t="n">
        <f aca="false">I419/$I$475</f>
        <v>3.89579045517387E-006</v>
      </c>
      <c r="K419" s="14" t="n">
        <f aca="false">SUM(J$6:J419)</f>
        <v>0.977416776695159</v>
      </c>
      <c r="L419" s="4" t="str">
        <f aca="false">IF(I419&lt;=0,"-",IF(K419-J419&lt;0.8,"A - top 80%",IF(K419-J419&lt;0.95,"B - next 15%","C - tail")))</f>
        <v>C - tail</v>
      </c>
      <c r="M419" s="16" t="n">
        <v>1848.21428571429</v>
      </c>
      <c r="N419" s="16" t="n">
        <v>2772.32142857143</v>
      </c>
      <c r="O419" s="17" t="n">
        <f aca="false">N419-M419</f>
        <v>924.107142857142</v>
      </c>
      <c r="P419" s="14" t="n">
        <f aca="false">IF(M419&lt;1000,"new",R419)</f>
        <v>0.5</v>
      </c>
      <c r="Q419" s="4" t="str">
        <f aca="false">IF(LEFT(L419,1)="A",IF(R419&lt;-0.05,"2 FIX","1 PROTECT"),IF(AND(N419&gt;=300000,OR(P419="new",R419&gt;=0.25),LEFT(L419,1)&lt;&gt;"-"),"3 SCALE","4 MAINTAIN"))</f>
        <v>4 MAINTAIN</v>
      </c>
      <c r="R419" s="14" t="n">
        <f aca="false">IF(M419&lt;1000,0,N419/M419-1)</f>
        <v>0.5</v>
      </c>
    </row>
    <row r="420" customFormat="false" ht="15" hidden="false" customHeight="false" outlineLevel="0" collapsed="false">
      <c r="A420" s="25" t="n">
        <f aca="false">ROW()-5</f>
        <v>415</v>
      </c>
      <c r="B420" s="4" t="s">
        <v>972</v>
      </c>
      <c r="C420" s="4" t="s">
        <v>973</v>
      </c>
      <c r="D420" s="4" t="s">
        <v>83</v>
      </c>
      <c r="E420" s="4" t="s">
        <v>226</v>
      </c>
      <c r="F420" s="16" t="n">
        <v>903.571428571428</v>
      </c>
      <c r="G420" s="14" t="n">
        <f aca="false">IF(SUMIFS(F$6:F$473,D$6:D$473,D420,E$6:E$473,E420)=0,0,F420/SUMIFS(F$6:F$473,D$6:D$473,D420,E$6:E$473,E420))</f>
        <v>0.00626935943501425</v>
      </c>
      <c r="H420" s="5" t="n">
        <f aca="false">SUMIFS(Pareto_Categories!$G$6:$G$84,Pareto_Categories!$B$6:$B$84,D420,Pareto_Categories!$C$6:$C$84,E420)</f>
        <v>0.702899355173986</v>
      </c>
      <c r="I420" s="28" t="n">
        <f aca="false">G420*H420</f>
        <v>0.00440672870422546</v>
      </c>
      <c r="J420" s="29" t="n">
        <f aca="false">I420/$I$475</f>
        <v>3.80921733394778E-006</v>
      </c>
      <c r="K420" s="14" t="n">
        <f aca="false">SUM(J$6:J420)</f>
        <v>0.977420585912493</v>
      </c>
      <c r="L420" s="4" t="str">
        <f aca="false">IF(I420&lt;=0,"-",IF(K420-J420&lt;0.8,"A - top 80%",IF(K420-J420&lt;0.95,"B - next 15%","C - tail")))</f>
        <v>C - tail</v>
      </c>
      <c r="M420" s="16" t="n">
        <v>2710.71428571429</v>
      </c>
      <c r="N420" s="16" t="n">
        <v>2258.92857142857</v>
      </c>
      <c r="O420" s="17" t="n">
        <f aca="false">N420-M420</f>
        <v>-451.785714285714</v>
      </c>
      <c r="P420" s="14" t="n">
        <f aca="false">IF(M420&lt;1000,"new",R420)</f>
        <v>-0.166666666666667</v>
      </c>
      <c r="Q420" s="4" t="str">
        <f aca="false">IF(LEFT(L420,1)="A",IF(R420&lt;-0.05,"2 FIX","1 PROTECT"),IF(AND(N420&gt;=300000,OR(P420="new",R420&gt;=0.25),LEFT(L420,1)&lt;&gt;"-"),"3 SCALE","4 MAINTAIN"))</f>
        <v>4 MAINTAIN</v>
      </c>
      <c r="R420" s="14" t="n">
        <f aca="false">IF(M420&lt;1000,0,N420/M420-1)</f>
        <v>-0.166666666666667</v>
      </c>
    </row>
    <row r="421" customFormat="false" ht="15" hidden="false" customHeight="false" outlineLevel="0" collapsed="false">
      <c r="A421" s="25" t="n">
        <f aca="false">ROW()-5</f>
        <v>416</v>
      </c>
      <c r="B421" s="4" t="s">
        <v>354</v>
      </c>
      <c r="C421" s="4" t="s">
        <v>355</v>
      </c>
      <c r="D421" s="4" t="s">
        <v>83</v>
      </c>
      <c r="E421" s="4" t="s">
        <v>223</v>
      </c>
      <c r="F421" s="16" t="n">
        <v>1498.21428571429</v>
      </c>
      <c r="G421" s="14" t="n">
        <f aca="false">IF(SUMIFS(F$6:F$473,D$6:D$473,D421,E$6:E$473,E421)=0,0,F421/SUMIFS(F$6:F$473,D$6:D$473,D421,E$6:E$473,E421))</f>
        <v>0.000456854711805103</v>
      </c>
      <c r="H421" s="5" t="n">
        <f aca="false">SUMIFS(Pareto_Categories!$G$6:$G$84,Pareto_Categories!$B$6:$B$84,D421,Pareto_Categories!$C$6:$C$84,E421)</f>
        <v>9.64323654379639</v>
      </c>
      <c r="I421" s="28" t="n">
        <f aca="false">G421*H421</f>
        <v>0.00440555805208454</v>
      </c>
      <c r="J421" s="29" t="n">
        <f aca="false">I421/$I$475</f>
        <v>3.80820541133432E-006</v>
      </c>
      <c r="K421" s="14" t="n">
        <f aca="false">SUM(J$6:J421)</f>
        <v>0.977424394117905</v>
      </c>
      <c r="L421" s="4" t="str">
        <f aca="false">IF(I421&lt;=0,"-",IF(K421-J421&lt;0.8,"A - top 80%",IF(K421-J421&lt;0.95,"B - next 15%","C - tail")))</f>
        <v>C - tail</v>
      </c>
      <c r="M421" s="16" t="n">
        <v>17302.6785714286</v>
      </c>
      <c r="N421" s="16" t="n">
        <v>20684.8214285714</v>
      </c>
      <c r="O421" s="17" t="n">
        <f aca="false">N421-M421</f>
        <v>3382.14285714286</v>
      </c>
      <c r="P421" s="14" t="n">
        <f aca="false">IF(M421&lt;1000,"new",R421)</f>
        <v>0.19546932246246</v>
      </c>
      <c r="Q421" s="4" t="str">
        <f aca="false">IF(LEFT(L421,1)="A",IF(R421&lt;-0.05,"2 FIX","1 PROTECT"),IF(AND(N421&gt;=300000,OR(P421="new",R421&gt;=0.25),LEFT(L421,1)&lt;&gt;"-"),"3 SCALE","4 MAINTAIN"))</f>
        <v>4 MAINTAIN</v>
      </c>
      <c r="R421" s="14" t="n">
        <f aca="false">IF(M421&lt;1000,0,N421/M421-1)</f>
        <v>0.19546932246246</v>
      </c>
    </row>
    <row r="422" customFormat="false" ht="15" hidden="false" customHeight="false" outlineLevel="0" collapsed="false">
      <c r="A422" s="25" t="n">
        <f aca="false">ROW()-5</f>
        <v>417</v>
      </c>
      <c r="B422" s="4" t="s">
        <v>974</v>
      </c>
      <c r="C422" s="4" t="s">
        <v>975</v>
      </c>
      <c r="D422" s="4" t="s">
        <v>78</v>
      </c>
      <c r="E422" s="4" t="s">
        <v>230</v>
      </c>
      <c r="F422" s="16" t="n">
        <v>5356538.80357143</v>
      </c>
      <c r="G422" s="14" t="n">
        <f aca="false">IF(SUMIFS(F$6:F$473,D$6:D$473,D422,E$6:E$473,E422)=0,0,F422/SUMIFS(F$6:F$473,D$6:D$473,D422,E$6:E$473,E422))</f>
        <v>0.237801610607644</v>
      </c>
      <c r="H422" s="5" t="n">
        <f aca="false">SUMIFS(Pareto_Categories!$G$6:$G$84,Pareto_Categories!$B$6:$B$84,D422,Pareto_Categories!$C$6:$C$84,E422)</f>
        <v>0.0180774872904102</v>
      </c>
      <c r="I422" s="28" t="n">
        <f aca="false">G422*H422</f>
        <v>0.00429885559339877</v>
      </c>
      <c r="J422" s="29" t="n">
        <f aca="false">I422/$I$475</f>
        <v>3.71597081227426E-006</v>
      </c>
      <c r="K422" s="14" t="n">
        <f aca="false">SUM(J$6:J422)</f>
        <v>0.977428110088717</v>
      </c>
      <c r="L422" s="4" t="str">
        <f aca="false">IF(I422&lt;=0,"-",IF(K422-J422&lt;0.8,"A - top 80%",IF(K422-J422&lt;0.95,"B - next 15%","C - tail")))</f>
        <v>C - tail</v>
      </c>
      <c r="M422" s="16" t="n">
        <v>10221179.1339286</v>
      </c>
      <c r="N422" s="16" t="n">
        <v>10479918.125</v>
      </c>
      <c r="O422" s="17" t="n">
        <f aca="false">N422-M422</f>
        <v>258738.991071429</v>
      </c>
      <c r="P422" s="14" t="n">
        <f aca="false">IF(M422&lt;1000,"new",R422)</f>
        <v>0.0253140061123243</v>
      </c>
      <c r="Q422" s="4" t="str">
        <f aca="false">IF(LEFT(L422,1)="A",IF(R422&lt;-0.05,"2 FIX","1 PROTECT"),IF(AND(N422&gt;=300000,OR(P422="new",R422&gt;=0.25),LEFT(L422,1)&lt;&gt;"-"),"3 SCALE","4 MAINTAIN"))</f>
        <v>4 MAINTAIN</v>
      </c>
      <c r="R422" s="14" t="n">
        <f aca="false">IF(M422&lt;1000,0,N422/M422-1)</f>
        <v>0.0253140061123243</v>
      </c>
    </row>
    <row r="423" customFormat="false" ht="15" hidden="false" customHeight="false" outlineLevel="0" collapsed="false">
      <c r="A423" s="25" t="n">
        <f aca="false">ROW()-5</f>
        <v>418</v>
      </c>
      <c r="B423" s="4" t="s">
        <v>414</v>
      </c>
      <c r="C423" s="4" t="s">
        <v>415</v>
      </c>
      <c r="D423" s="4" t="s">
        <v>83</v>
      </c>
      <c r="E423" s="4" t="s">
        <v>227</v>
      </c>
      <c r="F423" s="16" t="n">
        <v>759001.785714286</v>
      </c>
      <c r="G423" s="14" t="n">
        <f aca="false">IF(SUMIFS(F$6:F$473,D$6:D$473,D423,E$6:E$473,E423)=0,0,F423/SUMIFS(F$6:F$473,D$6:D$473,D423,E$6:E$473,E423))</f>
        <v>0.0462990805290461</v>
      </c>
      <c r="H423" s="5" t="n">
        <f aca="false">SUMIFS(Pareto_Categories!$G$6:$G$84,Pareto_Categories!$B$6:$B$84,D423,Pareto_Categories!$C$6:$C$84,E423)</f>
        <v>0.0907491325725196</v>
      </c>
      <c r="I423" s="28" t="n">
        <f aca="false">G423*H423</f>
        <v>0.00420160139691617</v>
      </c>
      <c r="J423" s="29" t="n">
        <f aca="false">I423/$I$475</f>
        <v>3.6319033790589E-006</v>
      </c>
      <c r="K423" s="14" t="n">
        <f aca="false">SUM(J$6:J423)</f>
        <v>0.977431741992096</v>
      </c>
      <c r="L423" s="4" t="str">
        <f aca="false">IF(I423&lt;=0,"-",IF(K423-J423&lt;0.8,"A - top 80%",IF(K423-J423&lt;0.95,"B - next 15%","C - tail")))</f>
        <v>C - tail</v>
      </c>
      <c r="M423" s="16" t="n">
        <v>1532290.17857143</v>
      </c>
      <c r="N423" s="16" t="n">
        <v>1417517.85714286</v>
      </c>
      <c r="O423" s="17" t="n">
        <f aca="false">N423-M423</f>
        <v>-114772.321428572</v>
      </c>
      <c r="P423" s="14" t="n">
        <f aca="false">IF(M423&lt;1000,"new",R423)</f>
        <v>-0.074902471498953</v>
      </c>
      <c r="Q423" s="4" t="str">
        <f aca="false">IF(LEFT(L423,1)="A",IF(R423&lt;-0.05,"2 FIX","1 PROTECT"),IF(AND(N423&gt;=300000,OR(P423="new",R423&gt;=0.25),LEFT(L423,1)&lt;&gt;"-"),"3 SCALE","4 MAINTAIN"))</f>
        <v>4 MAINTAIN</v>
      </c>
      <c r="R423" s="14" t="n">
        <f aca="false">IF(M423&lt;1000,0,N423/M423-1)</f>
        <v>-0.074902471498953</v>
      </c>
    </row>
    <row r="424" customFormat="false" ht="15" hidden="false" customHeight="false" outlineLevel="0" collapsed="false">
      <c r="A424" s="25" t="n">
        <f aca="false">ROW()-5</f>
        <v>419</v>
      </c>
      <c r="B424" s="4" t="s">
        <v>976</v>
      </c>
      <c r="C424" s="4" t="s">
        <v>977</v>
      </c>
      <c r="D424" s="4" t="s">
        <v>83</v>
      </c>
      <c r="E424" s="4" t="s">
        <v>226</v>
      </c>
      <c r="F424" s="16" t="n">
        <v>801.785714285714</v>
      </c>
      <c r="G424" s="14" t="n">
        <f aca="false">IF(SUMIFS(F$6:F$473,D$6:D$473,D424,E$6:E$473,E424)=0,0,F424/SUMIFS(F$6:F$473,D$6:D$473,D424,E$6:E$473,E424))</f>
        <v>0.00556312724569446</v>
      </c>
      <c r="H424" s="5" t="n">
        <f aca="false">SUMIFS(Pareto_Categories!$G$6:$G$84,Pareto_Categories!$B$6:$B$84,D424,Pareto_Categories!$C$6:$C$84,E424)</f>
        <v>0.702899355173986</v>
      </c>
      <c r="I424" s="28" t="n">
        <f aca="false">G424*H424</f>
        <v>0.00391031855374947</v>
      </c>
      <c r="J424" s="29" t="n">
        <f aca="false">I424/$I$475</f>
        <v>3.38011577656632E-006</v>
      </c>
      <c r="K424" s="14" t="n">
        <f aca="false">SUM(J$6:J424)</f>
        <v>0.977435122107873</v>
      </c>
      <c r="L424" s="4" t="str">
        <f aca="false">IF(I424&lt;=0,"-",IF(K424-J424&lt;0.8,"A - top 80%",IF(K424-J424&lt;0.95,"B - next 15%","C - tail")))</f>
        <v>C - tail</v>
      </c>
      <c r="M424" s="16" t="n">
        <v>400.892857142857</v>
      </c>
      <c r="N424" s="16" t="n">
        <v>801.785714285714</v>
      </c>
      <c r="O424" s="17" t="n">
        <f aca="false">N424-M424</f>
        <v>400.892857142857</v>
      </c>
      <c r="P424" s="14" t="str">
        <f aca="false">IF(M424&lt;1000,"new",R424)</f>
        <v>new</v>
      </c>
      <c r="Q424" s="4" t="str">
        <f aca="false">IF(LEFT(L424,1)="A",IF(R424&lt;-0.05,"2 FIX","1 PROTECT"),IF(AND(N424&gt;=300000,OR(P424="new",R424&gt;=0.25),LEFT(L424,1)&lt;&gt;"-"),"3 SCALE","4 MAINTAIN"))</f>
        <v>4 MAINTAIN</v>
      </c>
      <c r="R424" s="14" t="n">
        <f aca="false">IF(M424&lt;1000,0,N424/M424-1)</f>
        <v>0</v>
      </c>
    </row>
    <row r="425" customFormat="false" ht="15" hidden="false" customHeight="false" outlineLevel="0" collapsed="false">
      <c r="A425" s="25" t="n">
        <f aca="false">ROW()-5</f>
        <v>420</v>
      </c>
      <c r="B425" s="4" t="s">
        <v>978</v>
      </c>
      <c r="C425" s="4" t="s">
        <v>979</v>
      </c>
      <c r="D425" s="4" t="s">
        <v>83</v>
      </c>
      <c r="E425" s="4" t="s">
        <v>226</v>
      </c>
      <c r="F425" s="16" t="n">
        <v>801.785714285714</v>
      </c>
      <c r="G425" s="14" t="n">
        <f aca="false">IF(SUMIFS(F$6:F$473,D$6:D$473,D425,E$6:E$473,E425)=0,0,F425/SUMIFS(F$6:F$473,D$6:D$473,D425,E$6:E$473,E425))</f>
        <v>0.00556312724569446</v>
      </c>
      <c r="H425" s="5" t="n">
        <f aca="false">SUMIFS(Pareto_Categories!$G$6:$G$84,Pareto_Categories!$B$6:$B$84,D425,Pareto_Categories!$C$6:$C$84,E425)</f>
        <v>0.702899355173986</v>
      </c>
      <c r="I425" s="28" t="n">
        <f aca="false">G425*H425</f>
        <v>0.00391031855374947</v>
      </c>
      <c r="J425" s="29" t="n">
        <f aca="false">I425/$I$475</f>
        <v>3.38011577656632E-006</v>
      </c>
      <c r="K425" s="14" t="n">
        <f aca="false">SUM(J$6:J425)</f>
        <v>0.977438502223649</v>
      </c>
      <c r="L425" s="4" t="str">
        <f aca="false">IF(I425&lt;=0,"-",IF(K425-J425&lt;0.8,"A - top 80%",IF(K425-J425&lt;0.95,"B - next 15%","C - tail")))</f>
        <v>C - tail</v>
      </c>
      <c r="M425" s="16" t="n">
        <v>801.785714285714</v>
      </c>
      <c r="N425" s="16" t="n">
        <v>1603.57142857143</v>
      </c>
      <c r="O425" s="17" t="n">
        <f aca="false">N425-M425</f>
        <v>801.785714285714</v>
      </c>
      <c r="P425" s="14" t="str">
        <f aca="false">IF(M425&lt;1000,"new",R425)</f>
        <v>new</v>
      </c>
      <c r="Q425" s="4" t="str">
        <f aca="false">IF(LEFT(L425,1)="A",IF(R425&lt;-0.05,"2 FIX","1 PROTECT"),IF(AND(N425&gt;=300000,OR(P425="new",R425&gt;=0.25),LEFT(L425,1)&lt;&gt;"-"),"3 SCALE","4 MAINTAIN"))</f>
        <v>4 MAINTAIN</v>
      </c>
      <c r="R425" s="14" t="n">
        <f aca="false">IF(M425&lt;1000,0,N425/M425-1)</f>
        <v>0</v>
      </c>
    </row>
    <row r="426" customFormat="false" ht="15" hidden="false" customHeight="false" outlineLevel="0" collapsed="false">
      <c r="A426" s="25" t="n">
        <f aca="false">ROW()-5</f>
        <v>421</v>
      </c>
      <c r="B426" s="4" t="s">
        <v>909</v>
      </c>
      <c r="C426" s="4" t="s">
        <v>910</v>
      </c>
      <c r="D426" s="4" t="s">
        <v>83</v>
      </c>
      <c r="E426" s="4" t="s">
        <v>179</v>
      </c>
      <c r="F426" s="16" t="n">
        <v>1508.92857142857</v>
      </c>
      <c r="G426" s="14" t="n">
        <f aca="false">IF(SUMIFS(F$6:F$473,D$6:D$473,D426,E$6:E$473,E426)=0,0,F426/SUMIFS(F$6:F$473,D$6:D$473,D426,E$6:E$473,E426))</f>
        <v>0.000211197491023794</v>
      </c>
      <c r="H426" s="5" t="n">
        <f aca="false">SUMIFS(Pareto_Categories!$G$6:$G$84,Pareto_Categories!$B$6:$B$84,D426,Pareto_Categories!$C$6:$C$84,E426)</f>
        <v>17.1493362305561</v>
      </c>
      <c r="I426" s="28" t="n">
        <f aca="false">G426*H426</f>
        <v>0.00362189678461689</v>
      </c>
      <c r="J426" s="29" t="n">
        <f aca="false">I426/$I$475</f>
        <v>3.13080131311541E-006</v>
      </c>
      <c r="K426" s="14" t="n">
        <f aca="false">SUM(J$6:J426)</f>
        <v>0.977441633024962</v>
      </c>
      <c r="L426" s="4" t="str">
        <f aca="false">IF(I426&lt;=0,"-",IF(K426-J426&lt;0.8,"A - top 80%",IF(K426-J426&lt;0.95,"B - next 15%","C - tail")))</f>
        <v>C - tail</v>
      </c>
      <c r="M426" s="16" t="n">
        <v>3598.21428571429</v>
      </c>
      <c r="N426" s="16" t="n">
        <v>3750</v>
      </c>
      <c r="O426" s="17" t="n">
        <f aca="false">N426-M426</f>
        <v>151.785714285715</v>
      </c>
      <c r="P426" s="14" t="n">
        <f aca="false">IF(M426&lt;1000,"new",R426)</f>
        <v>0.0421836228287844</v>
      </c>
      <c r="Q426" s="4" t="str">
        <f aca="false">IF(LEFT(L426,1)="A",IF(R426&lt;-0.05,"2 FIX","1 PROTECT"),IF(AND(N426&gt;=300000,OR(P426="new",R426&gt;=0.25),LEFT(L426,1)&lt;&gt;"-"),"3 SCALE","4 MAINTAIN"))</f>
        <v>4 MAINTAIN</v>
      </c>
      <c r="R426" s="14" t="n">
        <f aca="false">IF(M426&lt;1000,0,N426/M426-1)</f>
        <v>0.0421836228287844</v>
      </c>
    </row>
    <row r="427" customFormat="false" ht="15" hidden="false" customHeight="false" outlineLevel="0" collapsed="false">
      <c r="A427" s="25" t="n">
        <f aca="false">ROW()-5</f>
        <v>422</v>
      </c>
      <c r="B427" s="4" t="s">
        <v>980</v>
      </c>
      <c r="C427" s="4" t="s">
        <v>513</v>
      </c>
      <c r="D427" s="4" t="s">
        <v>78</v>
      </c>
      <c r="E427" s="4" t="s">
        <v>152</v>
      </c>
      <c r="F427" s="16" t="n">
        <v>857.142857142857</v>
      </c>
      <c r="G427" s="14" t="n">
        <f aca="false">IF(SUMIFS(F$6:F$473,D$6:D$473,D427,E$6:E$473,E427)=0,0,F427/SUMIFS(F$6:F$473,D$6:D$473,D427,E$6:E$473,E427))</f>
        <v>1.76843685826869E-005</v>
      </c>
      <c r="H427" s="5" t="n">
        <f aca="false">SUMIFS(Pareto_Categories!$G$6:$G$84,Pareto_Categories!$B$6:$B$84,D427,Pareto_Categories!$C$6:$C$84,E427)</f>
        <v>175.162640843516</v>
      </c>
      <c r="I427" s="28" t="n">
        <f aca="false">G427*H427</f>
        <v>0.00309764070259355</v>
      </c>
      <c r="J427" s="29" t="n">
        <f aca="false">I427/$I$475</f>
        <v>2.67762947316165E-006</v>
      </c>
      <c r="K427" s="14" t="n">
        <f aca="false">SUM(J$6:J427)</f>
        <v>0.977444310654435</v>
      </c>
      <c r="L427" s="4" t="str">
        <f aca="false">IF(I427&lt;=0,"-",IF(K427-J427&lt;0.8,"A - top 80%",IF(K427-J427&lt;0.95,"B - next 15%","C - tail")))</f>
        <v>C - tail</v>
      </c>
      <c r="M427" s="16" t="n">
        <v>1167.85714285714</v>
      </c>
      <c r="N427" s="16" t="n">
        <v>1483.92857142857</v>
      </c>
      <c r="O427" s="17" t="n">
        <f aca="false">N427-M427</f>
        <v>316.071428571428</v>
      </c>
      <c r="P427" s="14" t="n">
        <f aca="false">IF(M427&lt;1000,"new",R427)</f>
        <v>0.270642201834862</v>
      </c>
      <c r="Q427" s="4" t="str">
        <f aca="false">IF(LEFT(L427,1)="A",IF(R427&lt;-0.05,"2 FIX","1 PROTECT"),IF(AND(N427&gt;=300000,OR(P427="new",R427&gt;=0.25),LEFT(L427,1)&lt;&gt;"-"),"3 SCALE","4 MAINTAIN"))</f>
        <v>4 MAINTAIN</v>
      </c>
      <c r="R427" s="14" t="n">
        <f aca="false">IF(M427&lt;1000,0,N427/M427-1)</f>
        <v>0.270642201834862</v>
      </c>
    </row>
    <row r="428" customFormat="false" ht="15" hidden="false" customHeight="false" outlineLevel="0" collapsed="false">
      <c r="A428" s="25" t="n">
        <f aca="false">ROW()-5</f>
        <v>423</v>
      </c>
      <c r="B428" s="4" t="s">
        <v>981</v>
      </c>
      <c r="C428" s="4" t="s">
        <v>982</v>
      </c>
      <c r="D428" s="4" t="s">
        <v>83</v>
      </c>
      <c r="E428" s="4" t="s">
        <v>226</v>
      </c>
      <c r="F428" s="16" t="n">
        <v>633.928571428571</v>
      </c>
      <c r="G428" s="14" t="n">
        <f aca="false">IF(SUMIFS(F$6:F$473,D$6:D$473,D428,E$6:E$473,E428)=0,0,F428/SUMIFS(F$6:F$473,D$6:D$473,D428,E$6:E$473,E428))</f>
        <v>0.00439846363523727</v>
      </c>
      <c r="H428" s="5" t="n">
        <f aca="false">SUMIFS(Pareto_Categories!$G$6:$G$84,Pareto_Categories!$B$6:$B$84,D428,Pareto_Categories!$C$6:$C$84,E428)</f>
        <v>0.702899355173986</v>
      </c>
      <c r="I428" s="28" t="n">
        <f aca="false">G428*H428</f>
        <v>0.0030916772529645</v>
      </c>
      <c r="J428" s="29" t="n">
        <f aca="false">I428/$I$475</f>
        <v>2.67247461176179E-006</v>
      </c>
      <c r="K428" s="14" t="n">
        <f aca="false">SUM(J$6:J428)</f>
        <v>0.977446983129047</v>
      </c>
      <c r="L428" s="4" t="str">
        <f aca="false">IF(I428&lt;=0,"-",IF(K428-J428&lt;0.8,"A - top 80%",IF(K428-J428&lt;0.95,"B - next 15%","C - tail")))</f>
        <v>C - tail</v>
      </c>
      <c r="M428" s="16" t="n">
        <v>2535.71428571429</v>
      </c>
      <c r="N428" s="16" t="n">
        <v>633.928571428571</v>
      </c>
      <c r="O428" s="17" t="n">
        <f aca="false">N428-M428</f>
        <v>-1901.78571428571</v>
      </c>
      <c r="P428" s="14" t="n">
        <f aca="false">IF(M428&lt;1000,"new",R428)</f>
        <v>-0.75</v>
      </c>
      <c r="Q428" s="4" t="str">
        <f aca="false">IF(LEFT(L428,1)="A",IF(R428&lt;-0.05,"2 FIX","1 PROTECT"),IF(AND(N428&gt;=300000,OR(P428="new",R428&gt;=0.25),LEFT(L428,1)&lt;&gt;"-"),"3 SCALE","4 MAINTAIN"))</f>
        <v>4 MAINTAIN</v>
      </c>
      <c r="R428" s="14" t="n">
        <f aca="false">IF(M428&lt;1000,0,N428/M428-1)</f>
        <v>-0.75</v>
      </c>
    </row>
    <row r="429" customFormat="false" ht="15" hidden="false" customHeight="false" outlineLevel="0" collapsed="false">
      <c r="A429" s="25" t="n">
        <f aca="false">ROW()-5</f>
        <v>424</v>
      </c>
      <c r="B429" s="4" t="s">
        <v>442</v>
      </c>
      <c r="C429" s="4" t="s">
        <v>443</v>
      </c>
      <c r="D429" s="4" t="s">
        <v>83</v>
      </c>
      <c r="E429" s="4" t="s">
        <v>227</v>
      </c>
      <c r="F429" s="16" t="n">
        <v>548944.642857143</v>
      </c>
      <c r="G429" s="14" t="n">
        <f aca="false">IF(SUMIFS(F$6:F$473,D$6:D$473,D429,E$6:E$473,E429)=0,0,F429/SUMIFS(F$6:F$473,D$6:D$473,D429,E$6:E$473,E429))</f>
        <v>0.0334856026744562</v>
      </c>
      <c r="H429" s="5" t="n">
        <f aca="false">SUMIFS(Pareto_Categories!$G$6:$G$84,Pareto_Categories!$B$6:$B$84,D429,Pareto_Categories!$C$6:$C$84,E429)</f>
        <v>0.0907491325725196</v>
      </c>
      <c r="I429" s="28" t="n">
        <f aca="false">G429*H429</f>
        <v>0.00303878939637495</v>
      </c>
      <c r="J429" s="29" t="n">
        <f aca="false">I429/$I$475</f>
        <v>2.62675785595535E-006</v>
      </c>
      <c r="K429" s="14" t="n">
        <f aca="false">SUM(J$6:J429)</f>
        <v>0.977449609886903</v>
      </c>
      <c r="L429" s="4" t="str">
        <f aca="false">IF(I429&lt;=0,"-",IF(K429-J429&lt;0.8,"A - top 80%",IF(K429-J429&lt;0.95,"B - next 15%","C - tail")))</f>
        <v>C - tail</v>
      </c>
      <c r="M429" s="16" t="n">
        <v>971857.142857143</v>
      </c>
      <c r="N429" s="16" t="n">
        <v>1027408.92857143</v>
      </c>
      <c r="O429" s="17" t="n">
        <f aca="false">N429-M429</f>
        <v>55551.7857142863</v>
      </c>
      <c r="P429" s="14" t="n">
        <f aca="false">IF(M429&lt;1000,"new",R429)</f>
        <v>0.0571604439217999</v>
      </c>
      <c r="Q429" s="4" t="str">
        <f aca="false">IF(LEFT(L429,1)="A",IF(R429&lt;-0.05,"2 FIX","1 PROTECT"),IF(AND(N429&gt;=300000,OR(P429="new",R429&gt;=0.25),LEFT(L429,1)&lt;&gt;"-"),"3 SCALE","4 MAINTAIN"))</f>
        <v>4 MAINTAIN</v>
      </c>
      <c r="R429" s="14" t="n">
        <f aca="false">IF(M429&lt;1000,0,N429/M429-1)</f>
        <v>0.0571604439217999</v>
      </c>
    </row>
    <row r="430" customFormat="false" ht="15" hidden="false" customHeight="false" outlineLevel="0" collapsed="false">
      <c r="A430" s="25" t="n">
        <f aca="false">ROW()-5</f>
        <v>425</v>
      </c>
      <c r="B430" s="4" t="s">
        <v>983</v>
      </c>
      <c r="C430" s="4" t="s">
        <v>984</v>
      </c>
      <c r="D430" s="4" t="s">
        <v>78</v>
      </c>
      <c r="E430" s="4" t="s">
        <v>230</v>
      </c>
      <c r="F430" s="16" t="n">
        <v>3748548.21428571</v>
      </c>
      <c r="G430" s="14" t="n">
        <f aca="false">IF(SUMIFS(F$6:F$473,D$6:D$473,D430,E$6:E$473,E430)=0,0,F430/SUMIFS(F$6:F$473,D$6:D$473,D430,E$6:E$473,E430))</f>
        <v>0.166415447640034</v>
      </c>
      <c r="H430" s="5" t="n">
        <f aca="false">SUMIFS(Pareto_Categories!$G$6:$G$84,Pareto_Categories!$B$6:$B$84,D430,Pareto_Categories!$C$6:$C$84,E430)</f>
        <v>0.0180774872904102</v>
      </c>
      <c r="I430" s="28" t="n">
        <f aca="false">G430*H430</f>
        <v>0.00300837313964064</v>
      </c>
      <c r="J430" s="29" t="n">
        <f aca="false">I430/$I$475</f>
        <v>2.60046576035277E-006</v>
      </c>
      <c r="K430" s="14" t="n">
        <f aca="false">SUM(J$6:J430)</f>
        <v>0.977452210352663</v>
      </c>
      <c r="L430" s="4" t="str">
        <f aca="false">IF(I430&lt;=0,"-",IF(K430-J430&lt;0.8,"A - top 80%",IF(K430-J430&lt;0.95,"B - next 15%","C - tail")))</f>
        <v>C - tail</v>
      </c>
      <c r="M430" s="16" t="n">
        <v>6586423.08928571</v>
      </c>
      <c r="N430" s="16" t="n">
        <v>7442223.21428571</v>
      </c>
      <c r="O430" s="17" t="n">
        <f aca="false">N430-M430</f>
        <v>855800.125</v>
      </c>
      <c r="P430" s="14" t="n">
        <f aca="false">IF(M430&lt;1000,"new",R430)</f>
        <v>0.129933973781938</v>
      </c>
      <c r="Q430" s="4" t="str">
        <f aca="false">IF(LEFT(L430,1)="A",IF(R430&lt;-0.05,"2 FIX","1 PROTECT"),IF(AND(N430&gt;=300000,OR(P430="new",R430&gt;=0.25),LEFT(L430,1)&lt;&gt;"-"),"3 SCALE","4 MAINTAIN"))</f>
        <v>4 MAINTAIN</v>
      </c>
      <c r="R430" s="14" t="n">
        <f aca="false">IF(M430&lt;1000,0,N430/M430-1)</f>
        <v>0.129933973781938</v>
      </c>
    </row>
    <row r="431" customFormat="false" ht="15" hidden="false" customHeight="false" outlineLevel="0" collapsed="false">
      <c r="A431" s="25" t="n">
        <f aca="false">ROW()-5</f>
        <v>426</v>
      </c>
      <c r="B431" s="4" t="s">
        <v>985</v>
      </c>
      <c r="C431" s="4" t="s">
        <v>986</v>
      </c>
      <c r="D431" s="4" t="s">
        <v>78</v>
      </c>
      <c r="E431" s="4" t="s">
        <v>171</v>
      </c>
      <c r="F431" s="16" t="n">
        <v>1004.46428571429</v>
      </c>
      <c r="G431" s="14" t="n">
        <f aca="false">IF(SUMIFS(F$6:F$473,D$6:D$473,D431,E$6:E$473,E431)=0,0,F431/SUMIFS(F$6:F$473,D$6:D$473,D431,E$6:E$473,E431))</f>
        <v>0.0016323420678579</v>
      </c>
      <c r="H431" s="5" t="n">
        <f aca="false">SUMIFS(Pareto_Categories!$G$6:$G$84,Pareto_Categories!$B$6:$B$84,D431,Pareto_Categories!$C$6:$C$84,E431)</f>
        <v>1.80666823968793</v>
      </c>
      <c r="I431" s="28" t="n">
        <f aca="false">G431*H431</f>
        <v>0.00294910057030538</v>
      </c>
      <c r="J431" s="29" t="n">
        <f aca="false">I431/$I$475</f>
        <v>2.54922999938501E-006</v>
      </c>
      <c r="K431" s="14" t="n">
        <f aca="false">SUM(J$6:J431)</f>
        <v>0.977454759582663</v>
      </c>
      <c r="L431" s="4" t="str">
        <f aca="false">IF(I431&lt;=0,"-",IF(K431-J431&lt;0.8,"A - top 80%",IF(K431-J431&lt;0.95,"B - next 15%","C - tail")))</f>
        <v>C - tail</v>
      </c>
      <c r="M431" s="16" t="n">
        <v>33816.9642857143</v>
      </c>
      <c r="N431" s="16" t="n">
        <v>6026.78571428571</v>
      </c>
      <c r="O431" s="17" t="n">
        <f aca="false">N431-M431</f>
        <v>-27790.1785714286</v>
      </c>
      <c r="P431" s="14" t="n">
        <f aca="false">IF(M431&lt;1000,"new",R431)</f>
        <v>-0.821782178217822</v>
      </c>
      <c r="Q431" s="4" t="str">
        <f aca="false">IF(LEFT(L431,1)="A",IF(R431&lt;-0.05,"2 FIX","1 PROTECT"),IF(AND(N431&gt;=300000,OR(P431="new",R431&gt;=0.25),LEFT(L431,1)&lt;&gt;"-"),"3 SCALE","4 MAINTAIN"))</f>
        <v>4 MAINTAIN</v>
      </c>
      <c r="R431" s="14" t="n">
        <f aca="false">IF(M431&lt;1000,0,N431/M431-1)</f>
        <v>-0.821782178217822</v>
      </c>
    </row>
    <row r="432" customFormat="false" ht="15" hidden="false" customHeight="false" outlineLevel="0" collapsed="false">
      <c r="A432" s="25" t="n">
        <f aca="false">ROW()-5</f>
        <v>427</v>
      </c>
      <c r="B432" s="4" t="s">
        <v>987</v>
      </c>
      <c r="C432" s="4" t="s">
        <v>988</v>
      </c>
      <c r="D432" s="4" t="s">
        <v>78</v>
      </c>
      <c r="E432" s="4" t="s">
        <v>230</v>
      </c>
      <c r="F432" s="16" t="n">
        <v>3403468.25892857</v>
      </c>
      <c r="G432" s="14" t="n">
        <f aca="false">IF(SUMIFS(F$6:F$473,D$6:D$473,D432,E$6:E$473,E432)=0,0,F432/SUMIFS(F$6:F$473,D$6:D$473,D432,E$6:E$473,E432))</f>
        <v>0.151095747329522</v>
      </c>
      <c r="H432" s="5" t="n">
        <f aca="false">SUMIFS(Pareto_Categories!$G$6:$G$84,Pareto_Categories!$B$6:$B$84,D432,Pareto_Categories!$C$6:$C$84,E432)</f>
        <v>0.0180774872904102</v>
      </c>
      <c r="I432" s="28" t="n">
        <f aca="false">G432*H432</f>
        <v>0.00273143145198447</v>
      </c>
      <c r="J432" s="29" t="n">
        <f aca="false">I432/$I$475</f>
        <v>2.36107478624967E-006</v>
      </c>
      <c r="K432" s="14" t="n">
        <f aca="false">SUM(J$6:J432)</f>
        <v>0.977457120657449</v>
      </c>
      <c r="L432" s="4" t="str">
        <f aca="false">IF(I432&lt;=0,"-",IF(K432-J432&lt;0.8,"A - top 80%",IF(K432-J432&lt;0.95,"B - next 15%","C - tail")))</f>
        <v>C - tail</v>
      </c>
      <c r="M432" s="16" t="n">
        <v>6591883.29464286</v>
      </c>
      <c r="N432" s="16" t="n">
        <v>6671930.38392857</v>
      </c>
      <c r="O432" s="17" t="n">
        <f aca="false">N432-M432</f>
        <v>80047.0892857146</v>
      </c>
      <c r="P432" s="14" t="n">
        <f aca="false">IF(M432&lt;1000,"new",R432)</f>
        <v>0.0121432807147492</v>
      </c>
      <c r="Q432" s="4" t="str">
        <f aca="false">IF(LEFT(L432,1)="A",IF(R432&lt;-0.05,"2 FIX","1 PROTECT"),IF(AND(N432&gt;=300000,OR(P432="new",R432&gt;=0.25),LEFT(L432,1)&lt;&gt;"-"),"3 SCALE","4 MAINTAIN"))</f>
        <v>4 MAINTAIN</v>
      </c>
      <c r="R432" s="14" t="n">
        <f aca="false">IF(M432&lt;1000,0,N432/M432-1)</f>
        <v>0.0121432807147492</v>
      </c>
    </row>
    <row r="433" customFormat="false" ht="15" hidden="false" customHeight="false" outlineLevel="0" collapsed="false">
      <c r="A433" s="25" t="n">
        <f aca="false">ROW()-5</f>
        <v>428</v>
      </c>
      <c r="B433" s="4" t="s">
        <v>673</v>
      </c>
      <c r="C433" s="4" t="s">
        <v>674</v>
      </c>
      <c r="D433" s="4" t="s">
        <v>83</v>
      </c>
      <c r="E433" s="4" t="s">
        <v>233</v>
      </c>
      <c r="F433" s="16" t="n">
        <v>3973.21428571429</v>
      </c>
      <c r="G433" s="14" t="n">
        <f aca="false">IF(SUMIFS(F$6:F$473,D$6:D$473,D433,E$6:E$473,E433)=0,0,F433/SUMIFS(F$6:F$473,D$6:D$473,D433,E$6:E$473,E433))</f>
        <v>1</v>
      </c>
      <c r="H433" s="5" t="n">
        <f aca="false">SUMIFS(Pareto_Categories!$G$6:$G$84,Pareto_Categories!$B$6:$B$84,D433,Pareto_Categories!$C$6:$C$84,E433)</f>
        <v>0.00266844802296861</v>
      </c>
      <c r="I433" s="28" t="n">
        <f aca="false">G433*H433</f>
        <v>0.00266844802296861</v>
      </c>
      <c r="J433" s="29" t="n">
        <f aca="false">I433/$I$475</f>
        <v>2.30663132361295E-006</v>
      </c>
      <c r="K433" s="14" t="n">
        <f aca="false">SUM(J$6:J433)</f>
        <v>0.977459427288773</v>
      </c>
      <c r="L433" s="4" t="str">
        <f aca="false">IF(I433&lt;=0,"-",IF(K433-J433&lt;0.8,"A - top 80%",IF(K433-J433&lt;0.95,"B - next 15%","C - tail")))</f>
        <v>C - tail</v>
      </c>
      <c r="M433" s="16" t="n">
        <v>2208.92857142857</v>
      </c>
      <c r="N433" s="16" t="n">
        <v>5485.71428571429</v>
      </c>
      <c r="O433" s="17" t="n">
        <f aca="false">N433-M433</f>
        <v>3276.78571428571</v>
      </c>
      <c r="P433" s="14" t="n">
        <f aca="false">IF(M433&lt;1000,"new",R433)</f>
        <v>1.48342764753436</v>
      </c>
      <c r="Q433" s="4" t="str">
        <f aca="false">IF(LEFT(L433,1)="A",IF(R433&lt;-0.05,"2 FIX","1 PROTECT"),IF(AND(N433&gt;=300000,OR(P433="new",R433&gt;=0.25),LEFT(L433,1)&lt;&gt;"-"),"3 SCALE","4 MAINTAIN"))</f>
        <v>4 MAINTAIN</v>
      </c>
      <c r="R433" s="14" t="n">
        <f aca="false">IF(M433&lt;1000,0,N433/M433-1)</f>
        <v>1.48342764753436</v>
      </c>
    </row>
    <row r="434" customFormat="false" ht="15" hidden="false" customHeight="false" outlineLevel="0" collapsed="false">
      <c r="A434" s="25" t="n">
        <f aca="false">ROW()-5</f>
        <v>429</v>
      </c>
      <c r="B434" s="4" t="s">
        <v>989</v>
      </c>
      <c r="C434" s="4" t="s">
        <v>990</v>
      </c>
      <c r="D434" s="4" t="s">
        <v>83</v>
      </c>
      <c r="E434" s="4" t="s">
        <v>226</v>
      </c>
      <c r="F434" s="16" t="n">
        <v>546.428571428571</v>
      </c>
      <c r="G434" s="14" t="n">
        <f aca="false">IF(SUMIFS(F$6:F$473,D$6:D$473,D434,E$6:E$473,E434)=0,0,F434/SUMIFS(F$6:F$473,D$6:D$473,D434,E$6:E$473,E434))</f>
        <v>0.00379135175319044</v>
      </c>
      <c r="H434" s="5" t="n">
        <f aca="false">SUMIFS(Pareto_Categories!$G$6:$G$84,Pareto_Categories!$B$6:$B$84,D434,Pareto_Categories!$C$6:$C$84,E434)</f>
        <v>0.702899355173986</v>
      </c>
      <c r="I434" s="28" t="n">
        <f aca="false">G434*H434</f>
        <v>0.00266493870255532</v>
      </c>
      <c r="J434" s="29" t="n">
        <f aca="false">I434/$I$475</f>
        <v>2.30359783436368E-006</v>
      </c>
      <c r="K434" s="14" t="n">
        <f aca="false">SUM(J$6:J434)</f>
        <v>0.977461730886607</v>
      </c>
      <c r="L434" s="4" t="str">
        <f aca="false">IF(I434&lt;=0,"-",IF(K434-J434&lt;0.8,"A - top 80%",IF(K434-J434&lt;0.95,"B - next 15%","C - tail")))</f>
        <v>C - tail</v>
      </c>
      <c r="M434" s="16" t="n">
        <v>7103.57142857143</v>
      </c>
      <c r="N434" s="16" t="n">
        <v>2732.14285714286</v>
      </c>
      <c r="O434" s="17" t="n">
        <f aca="false">N434-M434</f>
        <v>-4371.42857142857</v>
      </c>
      <c r="P434" s="14" t="n">
        <f aca="false">IF(M434&lt;1000,"new",R434)</f>
        <v>-0.615384615384615</v>
      </c>
      <c r="Q434" s="4" t="str">
        <f aca="false">IF(LEFT(L434,1)="A",IF(R434&lt;-0.05,"2 FIX","1 PROTECT"),IF(AND(N434&gt;=300000,OR(P434="new",R434&gt;=0.25),LEFT(L434,1)&lt;&gt;"-"),"3 SCALE","4 MAINTAIN"))</f>
        <v>4 MAINTAIN</v>
      </c>
      <c r="R434" s="14" t="n">
        <f aca="false">IF(M434&lt;1000,0,N434/M434-1)</f>
        <v>-0.615384615384615</v>
      </c>
    </row>
    <row r="435" customFormat="false" ht="15" hidden="false" customHeight="false" outlineLevel="0" collapsed="false">
      <c r="A435" s="25" t="n">
        <f aca="false">ROW()-5</f>
        <v>430</v>
      </c>
      <c r="B435" s="4" t="s">
        <v>739</v>
      </c>
      <c r="C435" s="4" t="s">
        <v>740</v>
      </c>
      <c r="D435" s="4" t="s">
        <v>83</v>
      </c>
      <c r="E435" s="4" t="s">
        <v>165</v>
      </c>
      <c r="F435" s="16" t="n">
        <v>366.964285714286</v>
      </c>
      <c r="G435" s="14" t="n">
        <f aca="false">IF(SUMIFS(F$6:F$473,D$6:D$473,D435,E$6:E$473,E435)=0,0,F435/SUMIFS(F$6:F$473,D$6:D$473,D435,E$6:E$473,E435))</f>
        <v>0.00119991942146951</v>
      </c>
      <c r="H435" s="5" t="n">
        <f aca="false">SUMIFS(Pareto_Categories!$G$6:$G$84,Pareto_Categories!$B$6:$B$84,D435,Pareto_Categories!$C$6:$C$84,E435)</f>
        <v>2.14151466877589</v>
      </c>
      <c r="I435" s="28" t="n">
        <f aca="false">G435*H435</f>
        <v>0.00256964504242603</v>
      </c>
      <c r="J435" s="29" t="n">
        <f aca="false">I435/$I$475</f>
        <v>2.22122510703156E-006</v>
      </c>
      <c r="K435" s="14" t="n">
        <f aca="false">SUM(J$6:J435)</f>
        <v>0.977463952111714</v>
      </c>
      <c r="L435" s="4" t="str">
        <f aca="false">IF(I435&lt;=0,"-",IF(K435-J435&lt;0.8,"A - top 80%",IF(K435-J435&lt;0.95,"B - next 15%","C - tail")))</f>
        <v>C - tail</v>
      </c>
      <c r="M435" s="16" t="n">
        <v>0</v>
      </c>
      <c r="N435" s="16" t="n">
        <v>723.214285714286</v>
      </c>
      <c r="O435" s="17" t="n">
        <f aca="false">N435-M435</f>
        <v>723.214285714286</v>
      </c>
      <c r="P435" s="14" t="str">
        <f aca="false">IF(M435&lt;1000,"new",R435)</f>
        <v>new</v>
      </c>
      <c r="Q435" s="4" t="str">
        <f aca="false">IF(LEFT(L435,1)="A",IF(R435&lt;-0.05,"2 FIX","1 PROTECT"),IF(AND(N435&gt;=300000,OR(P435="new",R435&gt;=0.25),LEFT(L435,1)&lt;&gt;"-"),"3 SCALE","4 MAINTAIN"))</f>
        <v>4 MAINTAIN</v>
      </c>
      <c r="R435" s="14" t="n">
        <f aca="false">IF(M435&lt;1000,0,N435/M435-1)</f>
        <v>0</v>
      </c>
    </row>
    <row r="436" customFormat="false" ht="15" hidden="false" customHeight="false" outlineLevel="0" collapsed="false">
      <c r="A436" s="25" t="n">
        <f aca="false">ROW()-5</f>
        <v>431</v>
      </c>
      <c r="B436" s="4" t="s">
        <v>991</v>
      </c>
      <c r="C436" s="4" t="s">
        <v>992</v>
      </c>
      <c r="D436" s="4" t="s">
        <v>83</v>
      </c>
      <c r="E436" s="4" t="s">
        <v>226</v>
      </c>
      <c r="F436" s="16" t="n">
        <v>507.142857142857</v>
      </c>
      <c r="G436" s="14" t="n">
        <f aca="false">IF(SUMIFS(F$6:F$473,D$6:D$473,D436,E$6:E$473,E436)=0,0,F436/SUMIFS(F$6:F$473,D$6:D$473,D436,E$6:E$473,E436))</f>
        <v>0.00351877090818982</v>
      </c>
      <c r="H436" s="5" t="n">
        <f aca="false">SUMIFS(Pareto_Categories!$G$6:$G$84,Pareto_Categories!$B$6:$B$84,D436,Pareto_Categories!$C$6:$C$84,E436)</f>
        <v>0.702899355173986</v>
      </c>
      <c r="I436" s="28" t="n">
        <f aca="false">G436*H436</f>
        <v>0.0024733418023716</v>
      </c>
      <c r="J436" s="29" t="n">
        <f aca="false">I436/$I$475</f>
        <v>2.13797968940943E-006</v>
      </c>
      <c r="K436" s="14" t="n">
        <f aca="false">SUM(J$6:J436)</f>
        <v>0.977466090091403</v>
      </c>
      <c r="L436" s="4" t="str">
        <f aca="false">IF(I436&lt;=0,"-",IF(K436-J436&lt;0.8,"A - top 80%",IF(K436-J436&lt;0.95,"B - next 15%","C - tail")))</f>
        <v>C - tail</v>
      </c>
      <c r="M436" s="16" t="n">
        <v>2028.57142857143</v>
      </c>
      <c r="N436" s="16" t="n">
        <v>1521.42857142857</v>
      </c>
      <c r="O436" s="17" t="n">
        <f aca="false">N436-M436</f>
        <v>-507.142857142857</v>
      </c>
      <c r="P436" s="14" t="n">
        <f aca="false">IF(M436&lt;1000,"new",R436)</f>
        <v>-0.25</v>
      </c>
      <c r="Q436" s="4" t="str">
        <f aca="false">IF(LEFT(L436,1)="A",IF(R436&lt;-0.05,"2 FIX","1 PROTECT"),IF(AND(N436&gt;=300000,OR(P436="new",R436&gt;=0.25),LEFT(L436,1)&lt;&gt;"-"),"3 SCALE","4 MAINTAIN"))</f>
        <v>4 MAINTAIN</v>
      </c>
      <c r="R436" s="14" t="n">
        <f aca="false">IF(M436&lt;1000,0,N436/M436-1)</f>
        <v>-0.25</v>
      </c>
    </row>
    <row r="437" customFormat="false" ht="15" hidden="false" customHeight="false" outlineLevel="0" collapsed="false">
      <c r="A437" s="25" t="n">
        <f aca="false">ROW()-5</f>
        <v>432</v>
      </c>
      <c r="B437" s="4" t="s">
        <v>993</v>
      </c>
      <c r="C437" s="4" t="s">
        <v>994</v>
      </c>
      <c r="D437" s="4" t="s">
        <v>83</v>
      </c>
      <c r="E437" s="4" t="s">
        <v>226</v>
      </c>
      <c r="F437" s="16" t="n">
        <v>507.142857142857</v>
      </c>
      <c r="G437" s="14" t="n">
        <f aca="false">IF(SUMIFS(F$6:F$473,D$6:D$473,D437,E$6:E$473,E437)=0,0,F437/SUMIFS(F$6:F$473,D$6:D$473,D437,E$6:E$473,E437))</f>
        <v>0.00351877090818982</v>
      </c>
      <c r="H437" s="5" t="n">
        <f aca="false">SUMIFS(Pareto_Categories!$G$6:$G$84,Pareto_Categories!$B$6:$B$84,D437,Pareto_Categories!$C$6:$C$84,E437)</f>
        <v>0.702899355173986</v>
      </c>
      <c r="I437" s="28" t="n">
        <f aca="false">G437*H437</f>
        <v>0.0024733418023716</v>
      </c>
      <c r="J437" s="29" t="n">
        <f aca="false">I437/$I$475</f>
        <v>2.13797968940943E-006</v>
      </c>
      <c r="K437" s="14" t="n">
        <f aca="false">SUM(J$6:J437)</f>
        <v>0.977468228071093</v>
      </c>
      <c r="L437" s="4" t="str">
        <f aca="false">IF(I437&lt;=0,"-",IF(K437-J437&lt;0.8,"A - top 80%",IF(K437-J437&lt;0.95,"B - next 15%","C - tail")))</f>
        <v>C - tail</v>
      </c>
      <c r="M437" s="16" t="n">
        <v>507.142857142857</v>
      </c>
      <c r="N437" s="16" t="n">
        <v>1014.28571428571</v>
      </c>
      <c r="O437" s="17" t="n">
        <f aca="false">N437-M437</f>
        <v>507.142857142857</v>
      </c>
      <c r="P437" s="14" t="str">
        <f aca="false">IF(M437&lt;1000,"new",R437)</f>
        <v>new</v>
      </c>
      <c r="Q437" s="4" t="str">
        <f aca="false">IF(LEFT(L437,1)="A",IF(R437&lt;-0.05,"2 FIX","1 PROTECT"),IF(AND(N437&gt;=300000,OR(P437="new",R437&gt;=0.25),LEFT(L437,1)&lt;&gt;"-"),"3 SCALE","4 MAINTAIN"))</f>
        <v>4 MAINTAIN</v>
      </c>
      <c r="R437" s="14" t="n">
        <f aca="false">IF(M437&lt;1000,0,N437/M437-1)</f>
        <v>0</v>
      </c>
    </row>
    <row r="438" customFormat="false" ht="15" hidden="false" customHeight="false" outlineLevel="0" collapsed="false">
      <c r="A438" s="25" t="n">
        <f aca="false">ROW()-5</f>
        <v>433</v>
      </c>
      <c r="B438" s="4" t="s">
        <v>995</v>
      </c>
      <c r="C438" s="4" t="s">
        <v>996</v>
      </c>
      <c r="D438" s="4" t="s">
        <v>78</v>
      </c>
      <c r="E438" s="4" t="s">
        <v>154</v>
      </c>
      <c r="F438" s="16" t="n">
        <v>758.928571428571</v>
      </c>
      <c r="G438" s="14" t="n">
        <f aca="false">IF(SUMIFS(F$6:F$473,D$6:D$473,D438,E$6:E$473,E438)=0,0,F438/SUMIFS(F$6:F$473,D$6:D$473,D438,E$6:E$473,E438))</f>
        <v>2.02331509352624E-005</v>
      </c>
      <c r="H438" s="5" t="n">
        <f aca="false">SUMIFS(Pareto_Categories!$G$6:$G$84,Pareto_Categories!$B$6:$B$84,D438,Pareto_Categories!$C$6:$C$84,E438)</f>
        <v>120.122971429313</v>
      </c>
      <c r="I438" s="28" t="n">
        <f aca="false">G438*H438</f>
        <v>0.00243046621172151</v>
      </c>
      <c r="J438" s="29" t="n">
        <f aca="false">I438/$I$475</f>
        <v>2.10091762953019E-006</v>
      </c>
      <c r="K438" s="14" t="n">
        <f aca="false">SUM(J$6:J438)</f>
        <v>0.977470328988722</v>
      </c>
      <c r="L438" s="4" t="str">
        <f aca="false">IF(I438&lt;=0,"-",IF(K438-J438&lt;0.8,"A - top 80%",IF(K438-J438&lt;0.95,"B - next 15%","C - tail")))</f>
        <v>C - tail</v>
      </c>
      <c r="M438" s="16" t="n">
        <v>6473.21428571428</v>
      </c>
      <c r="N438" s="16" t="n">
        <v>4419.64285714286</v>
      </c>
      <c r="O438" s="17" t="n">
        <f aca="false">N438-M438</f>
        <v>-2053.57142857143</v>
      </c>
      <c r="P438" s="14" t="n">
        <f aca="false">IF(M438&lt;1000,"new",R438)</f>
        <v>-0.317241379310345</v>
      </c>
      <c r="Q438" s="4" t="str">
        <f aca="false">IF(LEFT(L438,1)="A",IF(R438&lt;-0.05,"2 FIX","1 PROTECT"),IF(AND(N438&gt;=300000,OR(P438="new",R438&gt;=0.25),LEFT(L438,1)&lt;&gt;"-"),"3 SCALE","4 MAINTAIN"))</f>
        <v>4 MAINTAIN</v>
      </c>
      <c r="R438" s="14" t="n">
        <f aca="false">IF(M438&lt;1000,0,N438/M438-1)</f>
        <v>-0.317241379310345</v>
      </c>
    </row>
    <row r="439" customFormat="false" ht="15" hidden="false" customHeight="false" outlineLevel="0" collapsed="false">
      <c r="A439" s="25" t="n">
        <f aca="false">ROW()-5</f>
        <v>434</v>
      </c>
      <c r="B439" s="4" t="s">
        <v>450</v>
      </c>
      <c r="C439" s="4" t="s">
        <v>451</v>
      </c>
      <c r="D439" s="4" t="s">
        <v>83</v>
      </c>
      <c r="E439" s="4" t="s">
        <v>203</v>
      </c>
      <c r="F439" s="16" t="n">
        <v>253504.464285714</v>
      </c>
      <c r="G439" s="14" t="n">
        <f aca="false">IF(SUMIFS(F$6:F$473,D$6:D$473,D439,E$6:E$473,E439)=0,0,F439/SUMIFS(F$6:F$473,D$6:D$473,D439,E$6:E$473,E439))</f>
        <v>0.655840136007281</v>
      </c>
      <c r="H439" s="5" t="n">
        <f aca="false">SUMIFS(Pareto_Categories!$G$6:$G$84,Pareto_Categories!$B$6:$B$84,D439,Pareto_Categories!$C$6:$C$84,E439)</f>
        <v>0.00362169343475946</v>
      </c>
      <c r="I439" s="28" t="n">
        <f aca="false">G439*H439</f>
        <v>0.00237525191482932</v>
      </c>
      <c r="J439" s="29" t="n">
        <f aca="false">I439/$I$475</f>
        <v>2.05318987705888E-006</v>
      </c>
      <c r="K439" s="14" t="n">
        <f aca="false">SUM(J$6:J439)</f>
        <v>0.977472382178599</v>
      </c>
      <c r="L439" s="4" t="str">
        <f aca="false">IF(I439&lt;=0,"-",IF(K439-J439&lt;0.8,"A - top 80%",IF(K439-J439&lt;0.95,"B - next 15%","C - tail")))</f>
        <v>C - tail</v>
      </c>
      <c r="M439" s="16" t="n">
        <v>789523.214285714</v>
      </c>
      <c r="N439" s="16" t="n">
        <v>541937.5</v>
      </c>
      <c r="O439" s="17" t="n">
        <f aca="false">N439-M439</f>
        <v>-247585.714285714</v>
      </c>
      <c r="P439" s="14" t="n">
        <f aca="false">IF(M439&lt;1000,"new",R439)</f>
        <v>-0.313588897458457</v>
      </c>
      <c r="Q439" s="4" t="str">
        <f aca="false">IF(LEFT(L439,1)="A",IF(R439&lt;-0.05,"2 FIX","1 PROTECT"),IF(AND(N439&gt;=300000,OR(P439="new",R439&gt;=0.25),LEFT(L439,1)&lt;&gt;"-"),"3 SCALE","4 MAINTAIN"))</f>
        <v>4 MAINTAIN</v>
      </c>
      <c r="R439" s="14" t="n">
        <f aca="false">IF(M439&lt;1000,0,N439/M439-1)</f>
        <v>-0.313588897458457</v>
      </c>
    </row>
    <row r="440" customFormat="false" ht="15" hidden="false" customHeight="false" outlineLevel="0" collapsed="false">
      <c r="A440" s="25" t="n">
        <f aca="false">ROW()-5</f>
        <v>435</v>
      </c>
      <c r="B440" s="4" t="s">
        <v>688</v>
      </c>
      <c r="C440" s="4" t="s">
        <v>689</v>
      </c>
      <c r="D440" s="4" t="s">
        <v>83</v>
      </c>
      <c r="E440" s="4" t="s">
        <v>234</v>
      </c>
      <c r="F440" s="16" t="n">
        <v>691.071428571429</v>
      </c>
      <c r="G440" s="14" t="n">
        <f aca="false">IF(SUMIFS(F$6:F$473,D$6:D$473,D440,E$6:E$473,E440)=0,0,F440/SUMIFS(F$6:F$473,D$6:D$473,D440,E$6:E$473,E440))</f>
        <v>1</v>
      </c>
      <c r="H440" s="5" t="n">
        <f aca="false">SUMIFS(Pareto_Categories!$G$6:$G$84,Pareto_Categories!$B$6:$B$84,D440,Pareto_Categories!$C$6:$C$84,E440)</f>
        <v>0.0023296690836115</v>
      </c>
      <c r="I440" s="28" t="n">
        <f aca="false">G440*H440</f>
        <v>0.0023296690836115</v>
      </c>
      <c r="J440" s="29" t="n">
        <f aca="false">I440/$I$475</f>
        <v>2.01378765321904E-006</v>
      </c>
      <c r="K440" s="14" t="n">
        <f aca="false">SUM(J$6:J440)</f>
        <v>0.977474395966253</v>
      </c>
      <c r="L440" s="4" t="str">
        <f aca="false">IF(I440&lt;=0,"-",IF(K440-J440&lt;0.8,"A - top 80%",IF(K440-J440&lt;0.95,"B - next 15%","C - tail")))</f>
        <v>C - tail</v>
      </c>
      <c r="M440" s="16" t="n">
        <v>6055.35714285714</v>
      </c>
      <c r="N440" s="16" t="n">
        <v>3126.78571428571</v>
      </c>
      <c r="O440" s="17" t="n">
        <f aca="false">N440-M440</f>
        <v>-2928.57142857143</v>
      </c>
      <c r="P440" s="14" t="n">
        <f aca="false">IF(M440&lt;1000,"new",R440)</f>
        <v>-0.483633146564435</v>
      </c>
      <c r="Q440" s="4" t="str">
        <f aca="false">IF(LEFT(L440,1)="A",IF(R440&lt;-0.05,"2 FIX","1 PROTECT"),IF(AND(N440&gt;=300000,OR(P440="new",R440&gt;=0.25),LEFT(L440,1)&lt;&gt;"-"),"3 SCALE","4 MAINTAIN"))</f>
        <v>4 MAINTAIN</v>
      </c>
      <c r="R440" s="14" t="n">
        <f aca="false">IF(M440&lt;1000,0,N440/M440-1)</f>
        <v>-0.483633146564435</v>
      </c>
    </row>
    <row r="441" customFormat="false" ht="15" hidden="false" customHeight="false" outlineLevel="0" collapsed="false">
      <c r="A441" s="25" t="n">
        <f aca="false">ROW()-5</f>
        <v>436</v>
      </c>
      <c r="B441" s="4" t="s">
        <v>997</v>
      </c>
      <c r="C441" s="4" t="s">
        <v>431</v>
      </c>
      <c r="D441" s="4" t="s">
        <v>78</v>
      </c>
      <c r="E441" s="4" t="s">
        <v>152</v>
      </c>
      <c r="F441" s="16" t="n">
        <v>629.464285714286</v>
      </c>
      <c r="G441" s="14" t="n">
        <f aca="false">IF(SUMIFS(F$6:F$473,D$6:D$473,D441,E$6:E$473,E441)=0,0,F441/SUMIFS(F$6:F$473,D$6:D$473,D441,E$6:E$473,E441))</f>
        <v>1.29869581779107E-005</v>
      </c>
      <c r="H441" s="5" t="n">
        <f aca="false">SUMIFS(Pareto_Categories!$G$6:$G$84,Pareto_Categories!$B$6:$B$84,D441,Pareto_Categories!$C$6:$C$84,E441)</f>
        <v>175.162640843516</v>
      </c>
      <c r="I441" s="28" t="n">
        <f aca="false">G441*H441</f>
        <v>0.00227482989096713</v>
      </c>
      <c r="J441" s="29" t="n">
        <f aca="false">I441/$I$475</f>
        <v>1.96638414435309E-006</v>
      </c>
      <c r="K441" s="14" t="n">
        <f aca="false">SUM(J$6:J441)</f>
        <v>0.977476362350397</v>
      </c>
      <c r="L441" s="4" t="str">
        <f aca="false">IF(I441&lt;=0,"-",IF(K441-J441&lt;0.8,"A - top 80%",IF(K441-J441&lt;0.95,"B - next 15%","C - tail")))</f>
        <v>C - tail</v>
      </c>
      <c r="M441" s="16" t="n">
        <v>1947.32142857143</v>
      </c>
      <c r="N441" s="16" t="n">
        <v>1240.17857142857</v>
      </c>
      <c r="O441" s="17" t="n">
        <f aca="false">N441-M441</f>
        <v>-707.142857142857</v>
      </c>
      <c r="P441" s="14" t="n">
        <f aca="false">IF(M441&lt;1000,"new",R441)</f>
        <v>-0.363136176066025</v>
      </c>
      <c r="Q441" s="4" t="str">
        <f aca="false">IF(LEFT(L441,1)="A",IF(R441&lt;-0.05,"2 FIX","1 PROTECT"),IF(AND(N441&gt;=300000,OR(P441="new",R441&gt;=0.25),LEFT(L441,1)&lt;&gt;"-"),"3 SCALE","4 MAINTAIN"))</f>
        <v>4 MAINTAIN</v>
      </c>
      <c r="R441" s="14" t="n">
        <f aca="false">IF(M441&lt;1000,0,N441/M441-1)</f>
        <v>-0.363136176066025</v>
      </c>
    </row>
    <row r="442" customFormat="false" ht="15" hidden="false" customHeight="false" outlineLevel="0" collapsed="false">
      <c r="A442" s="25" t="n">
        <f aca="false">ROW()-5</f>
        <v>437</v>
      </c>
      <c r="B442" s="4" t="s">
        <v>998</v>
      </c>
      <c r="C442" s="4" t="s">
        <v>999</v>
      </c>
      <c r="D442" s="4" t="s">
        <v>83</v>
      </c>
      <c r="E442" s="4" t="s">
        <v>226</v>
      </c>
      <c r="F442" s="16" t="n">
        <v>451.785714285714</v>
      </c>
      <c r="G442" s="14" t="n">
        <f aca="false">IF(SUMIFS(F$6:F$473,D$6:D$473,D442,E$6:E$473,E442)=0,0,F442/SUMIFS(F$6:F$473,D$6:D$473,D442,E$6:E$473,E442))</f>
        <v>0.00313467971750712</v>
      </c>
      <c r="H442" s="5" t="n">
        <f aca="false">SUMIFS(Pareto_Categories!$G$6:$G$84,Pareto_Categories!$B$6:$B$84,D442,Pareto_Categories!$C$6:$C$84,E442)</f>
        <v>0.702899355173986</v>
      </c>
      <c r="I442" s="28" t="n">
        <f aca="false">G442*H442</f>
        <v>0.00220336435211273</v>
      </c>
      <c r="J442" s="29" t="n">
        <f aca="false">I442/$I$475</f>
        <v>1.90460866697389E-006</v>
      </c>
      <c r="K442" s="14" t="n">
        <f aca="false">SUM(J$6:J442)</f>
        <v>0.977478266959064</v>
      </c>
      <c r="L442" s="4" t="str">
        <f aca="false">IF(I442&lt;=0,"-",IF(K442-J442&lt;0.8,"A - top 80%",IF(K442-J442&lt;0.95,"B - next 15%","C - tail")))</f>
        <v>C - tail</v>
      </c>
      <c r="M442" s="16" t="n">
        <v>1355.35714285714</v>
      </c>
      <c r="N442" s="16" t="n">
        <v>903.571428571428</v>
      </c>
      <c r="O442" s="17" t="n">
        <f aca="false">N442-M442</f>
        <v>-451.785714285714</v>
      </c>
      <c r="P442" s="14" t="n">
        <f aca="false">IF(M442&lt;1000,"new",R442)</f>
        <v>-0.333333333333334</v>
      </c>
      <c r="Q442" s="4" t="str">
        <f aca="false">IF(LEFT(L442,1)="A",IF(R442&lt;-0.05,"2 FIX","1 PROTECT"),IF(AND(N442&gt;=300000,OR(P442="new",R442&gt;=0.25),LEFT(L442,1)&lt;&gt;"-"),"3 SCALE","4 MAINTAIN"))</f>
        <v>4 MAINTAIN</v>
      </c>
      <c r="R442" s="14" t="n">
        <f aca="false">IF(M442&lt;1000,0,N442/M442-1)</f>
        <v>-0.333333333333334</v>
      </c>
    </row>
    <row r="443" customFormat="false" ht="15" hidden="false" customHeight="false" outlineLevel="0" collapsed="false">
      <c r="A443" s="25" t="n">
        <f aca="false">ROW()-5</f>
        <v>438</v>
      </c>
      <c r="B443" s="4" t="s">
        <v>1000</v>
      </c>
      <c r="C443" s="4" t="s">
        <v>1001</v>
      </c>
      <c r="D443" s="4" t="s">
        <v>83</v>
      </c>
      <c r="E443" s="4" t="s">
        <v>226</v>
      </c>
      <c r="F443" s="16" t="n">
        <v>410.714285714286</v>
      </c>
      <c r="G443" s="14" t="n">
        <f aca="false">IF(SUMIFS(F$6:F$473,D$6:D$473,D443,E$6:E$473,E443)=0,0,F443/SUMIFS(F$6:F$473,D$6:D$473,D443,E$6:E$473,E443))</f>
        <v>0.00284970883409739</v>
      </c>
      <c r="H443" s="5" t="n">
        <f aca="false">SUMIFS(Pareto_Categories!$G$6:$G$84,Pareto_Categories!$B$6:$B$84,D443,Pareto_Categories!$C$6:$C$84,E443)</f>
        <v>0.702899355173986</v>
      </c>
      <c r="I443" s="28" t="n">
        <f aca="false">G443*H443</f>
        <v>0.00200305850192066</v>
      </c>
      <c r="J443" s="29" t="n">
        <f aca="false">I443/$I$475</f>
        <v>1.73146242452172E-006</v>
      </c>
      <c r="K443" s="14" t="n">
        <f aca="false">SUM(J$6:J443)</f>
        <v>0.977479998421489</v>
      </c>
      <c r="L443" s="4" t="str">
        <f aca="false">IF(I443&lt;=0,"-",IF(K443-J443&lt;0.8,"A - top 80%",IF(K443-J443&lt;0.95,"B - next 15%","C - tail")))</f>
        <v>C - tail</v>
      </c>
      <c r="M443" s="16" t="n">
        <v>2875</v>
      </c>
      <c r="N443" s="16" t="n">
        <v>821.428571428571</v>
      </c>
      <c r="O443" s="17" t="n">
        <f aca="false">N443-M443</f>
        <v>-2053.57142857143</v>
      </c>
      <c r="P443" s="14" t="n">
        <f aca="false">IF(M443&lt;1000,"new",R443)</f>
        <v>-0.714285714285714</v>
      </c>
      <c r="Q443" s="4" t="str">
        <f aca="false">IF(LEFT(L443,1)="A",IF(R443&lt;-0.05,"2 FIX","1 PROTECT"),IF(AND(N443&gt;=300000,OR(P443="new",R443&gt;=0.25),LEFT(L443,1)&lt;&gt;"-"),"3 SCALE","4 MAINTAIN"))</f>
        <v>4 MAINTAIN</v>
      </c>
      <c r="R443" s="14" t="n">
        <f aca="false">IF(M443&lt;1000,0,N443/M443-1)</f>
        <v>-0.714285714285714</v>
      </c>
    </row>
    <row r="444" customFormat="false" ht="15" hidden="false" customHeight="false" outlineLevel="0" collapsed="false">
      <c r="A444" s="25" t="n">
        <f aca="false">ROW()-5</f>
        <v>439</v>
      </c>
      <c r="B444" s="4" t="s">
        <v>952</v>
      </c>
      <c r="C444" s="4" t="s">
        <v>953</v>
      </c>
      <c r="D444" s="4" t="s">
        <v>83</v>
      </c>
      <c r="E444" s="4" t="s">
        <v>171</v>
      </c>
      <c r="F444" s="16" t="n">
        <v>535.714285714286</v>
      </c>
      <c r="G444" s="14" t="n">
        <f aca="false">IF(SUMIFS(F$6:F$473,D$6:D$473,D444,E$6:E$473,E444)=0,0,F444/SUMIFS(F$6:F$473,D$6:D$473,D444,E$6:E$473,E444))</f>
        <v>0.035633685710892</v>
      </c>
      <c r="H444" s="5" t="n">
        <f aca="false">SUMIFS(Pareto_Categories!$G$6:$G$84,Pareto_Categories!$B$6:$B$84,D444,Pareto_Categories!$C$6:$C$84,E444)</f>
        <v>0.0559390289925168</v>
      </c>
      <c r="I444" s="28" t="n">
        <f aca="false">G444*H444</f>
        <v>0.00199331377809182</v>
      </c>
      <c r="J444" s="29" t="n">
        <f aca="false">I444/$I$475</f>
        <v>1.7230389944867E-006</v>
      </c>
      <c r="K444" s="14" t="n">
        <f aca="false">SUM(J$6:J444)</f>
        <v>0.977481721460483</v>
      </c>
      <c r="L444" s="4" t="str">
        <f aca="false">IF(I444&lt;=0,"-",IF(K444-J444&lt;0.8,"A - top 80%",IF(K444-J444&lt;0.95,"B - next 15%","C - tail")))</f>
        <v>C - tail</v>
      </c>
      <c r="M444" s="16" t="n">
        <v>3080.35714285714</v>
      </c>
      <c r="N444" s="16" t="n">
        <v>2232.14285714286</v>
      </c>
      <c r="O444" s="17" t="n">
        <f aca="false">N444-M444</f>
        <v>-848.214285714286</v>
      </c>
      <c r="P444" s="14" t="n">
        <f aca="false">IF(M444&lt;1000,"new",R444)</f>
        <v>-0.27536231884058</v>
      </c>
      <c r="Q444" s="4" t="str">
        <f aca="false">IF(LEFT(L444,1)="A",IF(R444&lt;-0.05,"2 FIX","1 PROTECT"),IF(AND(N444&gt;=300000,OR(P444="new",R444&gt;=0.25),LEFT(L444,1)&lt;&gt;"-"),"3 SCALE","4 MAINTAIN"))</f>
        <v>4 MAINTAIN</v>
      </c>
      <c r="R444" s="14" t="n">
        <f aca="false">IF(M444&lt;1000,0,N444/M444-1)</f>
        <v>-0.27536231884058</v>
      </c>
    </row>
    <row r="445" customFormat="false" ht="15" hidden="false" customHeight="false" outlineLevel="0" collapsed="false">
      <c r="A445" s="25" t="n">
        <f aca="false">ROW()-5</f>
        <v>440</v>
      </c>
      <c r="B445" s="4" t="s">
        <v>1002</v>
      </c>
      <c r="C445" s="4" t="s">
        <v>1003</v>
      </c>
      <c r="D445" s="4" t="s">
        <v>83</v>
      </c>
      <c r="E445" s="4" t="s">
        <v>226</v>
      </c>
      <c r="F445" s="16" t="n">
        <v>400.892857142857</v>
      </c>
      <c r="G445" s="14" t="n">
        <f aca="false">IF(SUMIFS(F$6:F$473,D$6:D$473,D445,E$6:E$473,E445)=0,0,F445/SUMIFS(F$6:F$473,D$6:D$473,D445,E$6:E$473,E445))</f>
        <v>0.00278156362284723</v>
      </c>
      <c r="H445" s="5" t="n">
        <f aca="false">SUMIFS(Pareto_Categories!$G$6:$G$84,Pareto_Categories!$B$6:$B$84,D445,Pareto_Categories!$C$6:$C$84,E445)</f>
        <v>0.702899355173986</v>
      </c>
      <c r="I445" s="28" t="n">
        <f aca="false">G445*H445</f>
        <v>0.00195515927687473</v>
      </c>
      <c r="J445" s="29" t="n">
        <f aca="false">I445/$I$475</f>
        <v>1.69005788828316E-006</v>
      </c>
      <c r="K445" s="14" t="n">
        <f aca="false">SUM(J$6:J445)</f>
        <v>0.977483411518371</v>
      </c>
      <c r="L445" s="4" t="str">
        <f aca="false">IF(I445&lt;=0,"-",IF(K445-J445&lt;0.8,"A - top 80%",IF(K445-J445&lt;0.95,"B - next 15%","C - tail")))</f>
        <v>C - tail</v>
      </c>
      <c r="M445" s="16" t="n">
        <v>4008.92857142857</v>
      </c>
      <c r="N445" s="16" t="n">
        <v>2806.25</v>
      </c>
      <c r="O445" s="17" t="n">
        <f aca="false">N445-M445</f>
        <v>-1202.67857142857</v>
      </c>
      <c r="P445" s="14" t="n">
        <f aca="false">IF(M445&lt;1000,"new",R445)</f>
        <v>-0.3</v>
      </c>
      <c r="Q445" s="4" t="str">
        <f aca="false">IF(LEFT(L445,1)="A",IF(R445&lt;-0.05,"2 FIX","1 PROTECT"),IF(AND(N445&gt;=300000,OR(P445="new",R445&gt;=0.25),LEFT(L445,1)&lt;&gt;"-"),"3 SCALE","4 MAINTAIN"))</f>
        <v>4 MAINTAIN</v>
      </c>
      <c r="R445" s="14" t="n">
        <f aca="false">IF(M445&lt;1000,0,N445/M445-1)</f>
        <v>-0.3</v>
      </c>
    </row>
    <row r="446" customFormat="false" ht="15" hidden="false" customHeight="false" outlineLevel="0" collapsed="false">
      <c r="A446" s="25" t="n">
        <f aca="false">ROW()-5</f>
        <v>441</v>
      </c>
      <c r="B446" s="4" t="s">
        <v>1004</v>
      </c>
      <c r="C446" s="4" t="s">
        <v>1005</v>
      </c>
      <c r="D446" s="4" t="s">
        <v>78</v>
      </c>
      <c r="E446" s="4" t="s">
        <v>230</v>
      </c>
      <c r="F446" s="16" t="n">
        <v>2336625.125</v>
      </c>
      <c r="G446" s="14" t="n">
        <f aca="false">IF(SUMIFS(F$6:F$473,D$6:D$473,D446,E$6:E$473,E446)=0,0,F446/SUMIFS(F$6:F$473,D$6:D$473,D446,E$6:E$473,E446))</f>
        <v>0.10373363070586</v>
      </c>
      <c r="H446" s="5" t="n">
        <f aca="false">SUMIFS(Pareto_Categories!$G$6:$G$84,Pareto_Categories!$B$6:$B$84,D446,Pareto_Categories!$C$6:$C$84,E446)</f>
        <v>0.0180774872904102</v>
      </c>
      <c r="I446" s="28" t="n">
        <f aca="false">G446*H446</f>
        <v>0.00187524339067329</v>
      </c>
      <c r="J446" s="29" t="n">
        <f aca="false">I446/$I$475</f>
        <v>1.62097785195498E-006</v>
      </c>
      <c r="K446" s="14" t="n">
        <f aca="false">SUM(J$6:J446)</f>
        <v>0.977485032496223</v>
      </c>
      <c r="L446" s="4" t="str">
        <f aca="false">IF(I446&lt;=0,"-",IF(K446-J446&lt;0.8,"A - top 80%",IF(K446-J446&lt;0.95,"B - next 15%","C - tail")))</f>
        <v>C - tail</v>
      </c>
      <c r="M446" s="16" t="n">
        <v>3981838.39285714</v>
      </c>
      <c r="N446" s="16" t="n">
        <v>4863268.30357143</v>
      </c>
      <c r="O446" s="17" t="n">
        <f aca="false">N446-M446</f>
        <v>881429.910714285</v>
      </c>
      <c r="P446" s="14" t="n">
        <f aca="false">IF(M446&lt;1000,"new",R446)</f>
        <v>0.221362552607722</v>
      </c>
      <c r="Q446" s="4" t="str">
        <f aca="false">IF(LEFT(L446,1)="A",IF(R446&lt;-0.05,"2 FIX","1 PROTECT"),IF(AND(N446&gt;=300000,OR(P446="new",R446&gt;=0.25),LEFT(L446,1)&lt;&gt;"-"),"3 SCALE","4 MAINTAIN"))</f>
        <v>4 MAINTAIN</v>
      </c>
      <c r="R446" s="14" t="n">
        <f aca="false">IF(M446&lt;1000,0,N446/M446-1)</f>
        <v>0.221362552607722</v>
      </c>
    </row>
    <row r="447" customFormat="false" ht="15" hidden="false" customHeight="false" outlineLevel="0" collapsed="false">
      <c r="A447" s="25" t="n">
        <f aca="false">ROW()-5</f>
        <v>442</v>
      </c>
      <c r="B447" s="4" t="s">
        <v>1006</v>
      </c>
      <c r="C447" s="4" t="s">
        <v>355</v>
      </c>
      <c r="D447" s="4" t="s">
        <v>78</v>
      </c>
      <c r="E447" s="4" t="s">
        <v>152</v>
      </c>
      <c r="F447" s="16" t="n">
        <v>496.428571428571</v>
      </c>
      <c r="G447" s="14" t="n">
        <f aca="false">IF(SUMIFS(F$6:F$473,D$6:D$473,D447,E$6:E$473,E447)=0,0,F447/SUMIFS(F$6:F$473,D$6:D$473,D447,E$6:E$473,E447))</f>
        <v>1.02421968041395E-005</v>
      </c>
      <c r="H447" s="5" t="n">
        <f aca="false">SUMIFS(Pareto_Categories!$G$6:$G$84,Pareto_Categories!$B$6:$B$84,D447,Pareto_Categories!$C$6:$C$84,E447)</f>
        <v>175.162640843516</v>
      </c>
      <c r="I447" s="28" t="n">
        <f aca="false">G447*H447</f>
        <v>0.00179405024025209</v>
      </c>
      <c r="J447" s="29" t="n">
        <f aca="false">I447/$I$475</f>
        <v>1.55079373653945E-006</v>
      </c>
      <c r="K447" s="14" t="n">
        <f aca="false">SUM(J$6:J447)</f>
        <v>0.97748658328996</v>
      </c>
      <c r="L447" s="4" t="str">
        <f aca="false">IF(I447&lt;=0,"-",IF(K447-J447&lt;0.8,"A - top 80%",IF(K447-J447&lt;0.95,"B - next 15%","C - tail")))</f>
        <v>C - tail</v>
      </c>
      <c r="M447" s="16" t="n">
        <v>3969.64285714286</v>
      </c>
      <c r="N447" s="16" t="n">
        <v>2641.96428571429</v>
      </c>
      <c r="O447" s="17" t="n">
        <f aca="false">N447-M447</f>
        <v>-1327.67857142857</v>
      </c>
      <c r="P447" s="14" t="n">
        <f aca="false">IF(M447&lt;1000,"new",R447)</f>
        <v>-0.334457939721098</v>
      </c>
      <c r="Q447" s="4" t="str">
        <f aca="false">IF(LEFT(L447,1)="A",IF(R447&lt;-0.05,"2 FIX","1 PROTECT"),IF(AND(N447&gt;=300000,OR(P447="new",R447&gt;=0.25),LEFT(L447,1)&lt;&gt;"-"),"3 SCALE","4 MAINTAIN"))</f>
        <v>4 MAINTAIN</v>
      </c>
      <c r="R447" s="14" t="n">
        <f aca="false">IF(M447&lt;1000,0,N447/M447-1)</f>
        <v>-0.334457939721098</v>
      </c>
    </row>
    <row r="448" customFormat="false" ht="15" hidden="false" customHeight="false" outlineLevel="0" collapsed="false">
      <c r="A448" s="25" t="n">
        <f aca="false">ROW()-5</f>
        <v>443</v>
      </c>
      <c r="B448" s="4" t="s">
        <v>924</v>
      </c>
      <c r="C448" s="4" t="s">
        <v>925</v>
      </c>
      <c r="D448" s="4" t="s">
        <v>83</v>
      </c>
      <c r="E448" s="4" t="s">
        <v>235</v>
      </c>
      <c r="F448" s="16" t="n">
        <v>437.5</v>
      </c>
      <c r="G448" s="14" t="n">
        <f aca="false">IF(SUMIFS(F$6:F$473,D$6:D$473,D448,E$6:E$473,E448)=0,0,F448/SUMIFS(F$6:F$473,D$6:D$473,D448,E$6:E$473,E448))</f>
        <v>1</v>
      </c>
      <c r="H448" s="5" t="n">
        <f aca="false">SUMIFS(Pareto_Categories!$G$6:$G$84,Pareto_Categories!$B$6:$B$84,D448,Pareto_Categories!$C$6:$C$84,E448)</f>
        <v>0.00176909196244334</v>
      </c>
      <c r="I448" s="28" t="n">
        <f aca="false">G448*H448</f>
        <v>0.00176909196244334</v>
      </c>
      <c r="J448" s="29" t="n">
        <f aca="false">I448/$I$475</f>
        <v>1.52921956875294E-006</v>
      </c>
      <c r="K448" s="14" t="n">
        <f aca="false">SUM(J$6:J448)</f>
        <v>0.977488112509529</v>
      </c>
      <c r="L448" s="4" t="str">
        <f aca="false">IF(I448&lt;=0,"-",IF(K448-J448&lt;0.8,"A - top 80%",IF(K448-J448&lt;0.95,"B - next 15%","C - tail")))</f>
        <v>C - tail</v>
      </c>
      <c r="M448" s="16" t="n">
        <v>2875</v>
      </c>
      <c r="N448" s="16" t="n">
        <v>1562.5</v>
      </c>
      <c r="O448" s="17" t="n">
        <f aca="false">N448-M448</f>
        <v>-1312.5</v>
      </c>
      <c r="P448" s="14" t="n">
        <f aca="false">IF(M448&lt;1000,"new",R448)</f>
        <v>-0.456521739130435</v>
      </c>
      <c r="Q448" s="4" t="str">
        <f aca="false">IF(LEFT(L448,1)="A",IF(R448&lt;-0.05,"2 FIX","1 PROTECT"),IF(AND(N448&gt;=300000,OR(P448="new",R448&gt;=0.25),LEFT(L448,1)&lt;&gt;"-"),"3 SCALE","4 MAINTAIN"))</f>
        <v>4 MAINTAIN</v>
      </c>
      <c r="R448" s="14" t="n">
        <f aca="false">IF(M448&lt;1000,0,N448/M448-1)</f>
        <v>-0.456521739130435</v>
      </c>
    </row>
    <row r="449" customFormat="false" ht="15" hidden="false" customHeight="false" outlineLevel="0" collapsed="false">
      <c r="A449" s="25" t="n">
        <f aca="false">ROW()-5</f>
        <v>444</v>
      </c>
      <c r="B449" s="4" t="s">
        <v>356</v>
      </c>
      <c r="C449" s="4" t="s">
        <v>357</v>
      </c>
      <c r="D449" s="4" t="s">
        <v>83</v>
      </c>
      <c r="E449" s="4" t="s">
        <v>228</v>
      </c>
      <c r="F449" s="16" t="n">
        <v>721.428571428571</v>
      </c>
      <c r="G449" s="14" t="n">
        <f aca="false">IF(SUMIFS(F$6:F$473,D$6:D$473,D449,E$6:E$473,E449)=0,0,F449/SUMIFS(F$6:F$473,D$6:D$473,D449,E$6:E$473,E449))</f>
        <v>0.0252958487258155</v>
      </c>
      <c r="H449" s="5" t="n">
        <f aca="false">SUMIFS(Pareto_Categories!$G$6:$G$84,Pareto_Categories!$B$6:$B$84,D449,Pareto_Categories!$C$6:$C$84,E449)</f>
        <v>0.0690396942328583</v>
      </c>
      <c r="I449" s="28" t="n">
        <f aca="false">G449*H449</f>
        <v>0.00174641766139094</v>
      </c>
      <c r="J449" s="29" t="n">
        <f aca="false">I449/$I$475</f>
        <v>1.50961969174642E-006</v>
      </c>
      <c r="K449" s="14" t="n">
        <f aca="false">SUM(J$6:J449)</f>
        <v>0.97748962212922</v>
      </c>
      <c r="L449" s="4" t="str">
        <f aca="false">IF(I449&lt;=0,"-",IF(K449-J449&lt;0.8,"A - top 80%",IF(K449-J449&lt;0.95,"B - next 15%","C - tail")))</f>
        <v>C - tail</v>
      </c>
      <c r="M449" s="16" t="n">
        <v>979.464285714286</v>
      </c>
      <c r="N449" s="16" t="n">
        <v>4483.03571428571</v>
      </c>
      <c r="O449" s="17" t="n">
        <f aca="false">N449-M449</f>
        <v>3503.57142857143</v>
      </c>
      <c r="P449" s="14" t="str">
        <f aca="false">IF(M449&lt;1000,"new",R449)</f>
        <v>new</v>
      </c>
      <c r="Q449" s="4" t="str">
        <f aca="false">IF(LEFT(L449,1)="A",IF(R449&lt;-0.05,"2 FIX","1 PROTECT"),IF(AND(N449&gt;=300000,OR(P449="new",R449&gt;=0.25),LEFT(L449,1)&lt;&gt;"-"),"3 SCALE","4 MAINTAIN"))</f>
        <v>4 MAINTAIN</v>
      </c>
      <c r="R449" s="14" t="n">
        <f aca="false">IF(M449&lt;1000,0,N449/M449-1)</f>
        <v>0</v>
      </c>
    </row>
    <row r="450" customFormat="false" ht="15" hidden="false" customHeight="false" outlineLevel="0" collapsed="false">
      <c r="A450" s="25" t="n">
        <f aca="false">ROW()-5</f>
        <v>445</v>
      </c>
      <c r="B450" s="4" t="s">
        <v>1007</v>
      </c>
      <c r="C450" s="4" t="s">
        <v>1008</v>
      </c>
      <c r="D450" s="4" t="s">
        <v>83</v>
      </c>
      <c r="E450" s="4" t="s">
        <v>226</v>
      </c>
      <c r="F450" s="16" t="n">
        <v>357.142857142857</v>
      </c>
      <c r="G450" s="14" t="n">
        <f aca="false">IF(SUMIFS(F$6:F$473,D$6:D$473,D450,E$6:E$473,E450)=0,0,F450/SUMIFS(F$6:F$473,D$6:D$473,D450,E$6:E$473,E450))</f>
        <v>0.00247800768182381</v>
      </c>
      <c r="H450" s="5" t="n">
        <f aca="false">SUMIFS(Pareto_Categories!$G$6:$G$84,Pareto_Categories!$B$6:$B$84,D450,Pareto_Categories!$C$6:$C$84,E450)</f>
        <v>0.702899355173986</v>
      </c>
      <c r="I450" s="28" t="n">
        <f aca="false">G450*H450</f>
        <v>0.00174179000167014</v>
      </c>
      <c r="J450" s="29" t="n">
        <f aca="false">I450/$I$475</f>
        <v>1.5056194995841E-006</v>
      </c>
      <c r="K450" s="14" t="n">
        <f aca="false">SUM(J$6:J450)</f>
        <v>0.97749112774872</v>
      </c>
      <c r="L450" s="4" t="str">
        <f aca="false">IF(I450&lt;=0,"-",IF(K450-J450&lt;0.8,"A - top 80%",IF(K450-J450&lt;0.95,"B - next 15%","C - tail")))</f>
        <v>C - tail</v>
      </c>
      <c r="M450" s="16" t="n">
        <v>267.857142857143</v>
      </c>
      <c r="N450" s="16" t="n">
        <v>357.142857142857</v>
      </c>
      <c r="O450" s="17" t="n">
        <f aca="false">N450-M450</f>
        <v>89.2857142857143</v>
      </c>
      <c r="P450" s="14" t="str">
        <f aca="false">IF(M450&lt;1000,"new",R450)</f>
        <v>new</v>
      </c>
      <c r="Q450" s="4" t="str">
        <f aca="false">IF(LEFT(L450,1)="A",IF(R450&lt;-0.05,"2 FIX","1 PROTECT"),IF(AND(N450&gt;=300000,OR(P450="new",R450&gt;=0.25),LEFT(L450,1)&lt;&gt;"-"),"3 SCALE","4 MAINTAIN"))</f>
        <v>4 MAINTAIN</v>
      </c>
      <c r="R450" s="14" t="n">
        <f aca="false">IF(M450&lt;1000,0,N450/M450-1)</f>
        <v>0</v>
      </c>
    </row>
    <row r="451" customFormat="false" ht="15" hidden="false" customHeight="false" outlineLevel="0" collapsed="false">
      <c r="A451" s="25" t="n">
        <f aca="false">ROW()-5</f>
        <v>446</v>
      </c>
      <c r="B451" s="4" t="s">
        <v>1009</v>
      </c>
      <c r="C451" s="4" t="s">
        <v>423</v>
      </c>
      <c r="D451" s="4" t="s">
        <v>78</v>
      </c>
      <c r="E451" s="4" t="s">
        <v>152</v>
      </c>
      <c r="F451" s="16" t="n">
        <v>467.857142857143</v>
      </c>
      <c r="G451" s="14" t="n">
        <f aca="false">IF(SUMIFS(F$6:F$473,D$6:D$473,D451,E$6:E$473,E451)=0,0,F451/SUMIFS(F$6:F$473,D$6:D$473,D451,E$6:E$473,E451))</f>
        <v>9.65271785138326E-006</v>
      </c>
      <c r="H451" s="5" t="n">
        <f aca="false">SUMIFS(Pareto_Categories!$G$6:$G$84,Pareto_Categories!$B$6:$B$84,D451,Pareto_Categories!$C$6:$C$84,E451)</f>
        <v>175.162640843516</v>
      </c>
      <c r="I451" s="28" t="n">
        <f aca="false">G451*H451</f>
        <v>0.00169079555016564</v>
      </c>
      <c r="J451" s="29" t="n">
        <f aca="false">I451/$I$475</f>
        <v>1.4615394207674E-006</v>
      </c>
      <c r="K451" s="14" t="n">
        <f aca="false">SUM(J$6:J451)</f>
        <v>0.977492589288141</v>
      </c>
      <c r="L451" s="4" t="str">
        <f aca="false">IF(I451&lt;=0,"-",IF(K451-J451&lt;0.8,"A - top 80%",IF(K451-J451&lt;0.95,"B - next 15%","C - tail")))</f>
        <v>C - tail</v>
      </c>
      <c r="M451" s="16" t="n">
        <v>4145.53571428571</v>
      </c>
      <c r="N451" s="16" t="n">
        <v>2074.10714285714</v>
      </c>
      <c r="O451" s="17" t="n">
        <f aca="false">N451-M451</f>
        <v>-2071.42857142857</v>
      </c>
      <c r="P451" s="14" t="n">
        <f aca="false">IF(M451&lt;1000,"new",R451)</f>
        <v>-0.499676933017446</v>
      </c>
      <c r="Q451" s="4" t="str">
        <f aca="false">IF(LEFT(L451,1)="A",IF(R451&lt;-0.05,"2 FIX","1 PROTECT"),IF(AND(N451&gt;=300000,OR(P451="new",R451&gt;=0.25),LEFT(L451,1)&lt;&gt;"-"),"3 SCALE","4 MAINTAIN"))</f>
        <v>4 MAINTAIN</v>
      </c>
      <c r="R451" s="14" t="n">
        <f aca="false">IF(M451&lt;1000,0,N451/M451-1)</f>
        <v>-0.499676933017446</v>
      </c>
    </row>
    <row r="452" customFormat="false" ht="15" hidden="false" customHeight="false" outlineLevel="0" collapsed="false">
      <c r="A452" s="25" t="n">
        <f aca="false">ROW()-5</f>
        <v>447</v>
      </c>
      <c r="B452" s="4" t="s">
        <v>512</v>
      </c>
      <c r="C452" s="4" t="s">
        <v>513</v>
      </c>
      <c r="D452" s="4" t="s">
        <v>83</v>
      </c>
      <c r="E452" s="4" t="s">
        <v>179</v>
      </c>
      <c r="F452" s="16" t="n">
        <v>675</v>
      </c>
      <c r="G452" s="14" t="n">
        <f aca="false">IF(SUMIFS(F$6:F$473,D$6:D$473,D452,E$6:E$473,E452)=0,0,F452/SUMIFS(F$6:F$473,D$6:D$473,D452,E$6:E$473,E452))</f>
        <v>9.44765107775079E-005</v>
      </c>
      <c r="H452" s="5" t="n">
        <f aca="false">SUMIFS(Pareto_Categories!$G$6:$G$84,Pareto_Categories!$B$6:$B$84,D452,Pareto_Categories!$C$6:$C$84,E452)</f>
        <v>17.1493362305561</v>
      </c>
      <c r="I452" s="28" t="n">
        <f aca="false">G452*H452</f>
        <v>0.00162020944921324</v>
      </c>
      <c r="J452" s="29" t="n">
        <f aca="false">I452/$I$475</f>
        <v>1.40052413770133E-006</v>
      </c>
      <c r="K452" s="14" t="n">
        <f aca="false">SUM(J$6:J452)</f>
        <v>0.977493989812278</v>
      </c>
      <c r="L452" s="4" t="str">
        <f aca="false">IF(I452&lt;=0,"-",IF(K452-J452&lt;0.8,"A - top 80%",IF(K452-J452&lt;0.95,"B - next 15%","C - tail")))</f>
        <v>C - tail</v>
      </c>
      <c r="M452" s="16" t="n">
        <v>2558.92857142857</v>
      </c>
      <c r="N452" s="16" t="n">
        <v>14703.5714285714</v>
      </c>
      <c r="O452" s="17" t="n">
        <f aca="false">N452-M452</f>
        <v>12144.6428571429</v>
      </c>
      <c r="P452" s="14" t="n">
        <f aca="false">IF(M452&lt;1000,"new",R452)</f>
        <v>4.74598743893929</v>
      </c>
      <c r="Q452" s="4" t="str">
        <f aca="false">IF(LEFT(L452,1)="A",IF(R452&lt;-0.05,"2 FIX","1 PROTECT"),IF(AND(N452&gt;=300000,OR(P452="new",R452&gt;=0.25),LEFT(L452,1)&lt;&gt;"-"),"3 SCALE","4 MAINTAIN"))</f>
        <v>4 MAINTAIN</v>
      </c>
      <c r="R452" s="14" t="n">
        <f aca="false">IF(M452&lt;1000,0,N452/M452-1)</f>
        <v>4.74598743893929</v>
      </c>
    </row>
    <row r="453" customFormat="false" ht="15" hidden="false" customHeight="false" outlineLevel="0" collapsed="false">
      <c r="A453" s="25" t="n">
        <f aca="false">ROW()-5</f>
        <v>448</v>
      </c>
      <c r="B453" s="4" t="s">
        <v>460</v>
      </c>
      <c r="C453" s="4" t="s">
        <v>461</v>
      </c>
      <c r="D453" s="4" t="s">
        <v>83</v>
      </c>
      <c r="E453" s="4" t="s">
        <v>227</v>
      </c>
      <c r="F453" s="16" t="n">
        <v>289658.928571429</v>
      </c>
      <c r="G453" s="14" t="n">
        <f aca="false">IF(SUMIFS(F$6:F$473,D$6:D$473,D453,E$6:E$473,E453)=0,0,F453/SUMIFS(F$6:F$473,D$6:D$473,D453,E$6:E$473,E453))</f>
        <v>0.017669183804706</v>
      </c>
      <c r="H453" s="5" t="n">
        <f aca="false">SUMIFS(Pareto_Categories!$G$6:$G$84,Pareto_Categories!$B$6:$B$84,D453,Pareto_Categories!$C$6:$C$84,E453)</f>
        <v>0.0907491325725196</v>
      </c>
      <c r="I453" s="28" t="n">
        <f aca="false">G453*H453</f>
        <v>0.00160346310354148</v>
      </c>
      <c r="J453" s="29" t="n">
        <f aca="false">I453/$I$475</f>
        <v>1.38604844053577E-006</v>
      </c>
      <c r="K453" s="14" t="n">
        <f aca="false">SUM(J$6:J453)</f>
        <v>0.977495375860719</v>
      </c>
      <c r="L453" s="4" t="str">
        <f aca="false">IF(I453&lt;=0,"-",IF(K453-J453&lt;0.8,"A - top 80%",IF(K453-J453&lt;0.95,"B - next 15%","C - tail")))</f>
        <v>C - tail</v>
      </c>
      <c r="M453" s="16" t="n">
        <v>1260219.64285714</v>
      </c>
      <c r="N453" s="16" t="n">
        <v>1040958.92857143</v>
      </c>
      <c r="O453" s="17" t="n">
        <f aca="false">N453-M453</f>
        <v>-219260.714285714</v>
      </c>
      <c r="P453" s="14" t="n">
        <f aca="false">IF(M453&lt;1000,"new",R453)</f>
        <v>-0.173986110697823</v>
      </c>
      <c r="Q453" s="4" t="str">
        <f aca="false">IF(LEFT(L453,1)="A",IF(R453&lt;-0.05,"2 FIX","1 PROTECT"),IF(AND(N453&gt;=300000,OR(P453="new",R453&gt;=0.25),LEFT(L453,1)&lt;&gt;"-"),"3 SCALE","4 MAINTAIN"))</f>
        <v>4 MAINTAIN</v>
      </c>
      <c r="R453" s="14" t="n">
        <f aca="false">IF(M453&lt;1000,0,N453/M453-1)</f>
        <v>-0.173986110697823</v>
      </c>
    </row>
    <row r="454" customFormat="false" ht="15" hidden="false" customHeight="false" outlineLevel="0" collapsed="false">
      <c r="A454" s="25" t="n">
        <f aca="false">ROW()-5</f>
        <v>449</v>
      </c>
      <c r="B454" s="4" t="s">
        <v>476</v>
      </c>
      <c r="C454" s="4" t="s">
        <v>477</v>
      </c>
      <c r="D454" s="4" t="s">
        <v>83</v>
      </c>
      <c r="E454" s="4" t="s">
        <v>225</v>
      </c>
      <c r="F454" s="16" t="n">
        <v>458.035714285714</v>
      </c>
      <c r="G454" s="14" t="n">
        <f aca="false">IF(SUMIFS(F$6:F$473,D$6:D$473,D454,E$6:E$473,E454)=0,0,F454/SUMIFS(F$6:F$473,D$6:D$473,D454,E$6:E$473,E454))</f>
        <v>0.000307102876470412</v>
      </c>
      <c r="H454" s="5" t="n">
        <f aca="false">SUMIFS(Pareto_Categories!$G$6:$G$84,Pareto_Categories!$B$6:$B$84,D454,Pareto_Categories!$C$6:$C$84,E454)</f>
        <v>4.95628802452008</v>
      </c>
      <c r="I454" s="28" t="n">
        <f aca="false">G454*H454</f>
        <v>0.00152209030894597</v>
      </c>
      <c r="J454" s="29" t="n">
        <f aca="false">I454/$I$475</f>
        <v>1.31570903902286E-006</v>
      </c>
      <c r="K454" s="14" t="n">
        <f aca="false">SUM(J$6:J454)</f>
        <v>0.977496691569758</v>
      </c>
      <c r="L454" s="4" t="str">
        <f aca="false">IF(I454&lt;=0,"-",IF(K454-J454&lt;0.8,"A - top 80%",IF(K454-J454&lt;0.95,"B - next 15%","C - tail")))</f>
        <v>C - tail</v>
      </c>
      <c r="M454" s="16" t="n">
        <v>1307.14285714286</v>
      </c>
      <c r="N454" s="16" t="n">
        <v>3208.92857142857</v>
      </c>
      <c r="O454" s="17" t="n">
        <f aca="false">N454-M454</f>
        <v>1901.78571428571</v>
      </c>
      <c r="P454" s="14" t="n">
        <f aca="false">IF(M454&lt;1000,"new",R454)</f>
        <v>1.45491803278689</v>
      </c>
      <c r="Q454" s="4" t="str">
        <f aca="false">IF(LEFT(L454,1)="A",IF(R454&lt;-0.05,"2 FIX","1 PROTECT"),IF(AND(N454&gt;=300000,OR(P454="new",R454&gt;=0.25),LEFT(L454,1)&lt;&gt;"-"),"3 SCALE","4 MAINTAIN"))</f>
        <v>4 MAINTAIN</v>
      </c>
      <c r="R454" s="14" t="n">
        <f aca="false">IF(M454&lt;1000,0,N454/M454-1)</f>
        <v>1.45491803278689</v>
      </c>
    </row>
    <row r="455" customFormat="false" ht="15" hidden="false" customHeight="false" outlineLevel="0" collapsed="false">
      <c r="A455" s="25" t="n">
        <f aca="false">ROW()-5</f>
        <v>450</v>
      </c>
      <c r="B455" s="4" t="s">
        <v>634</v>
      </c>
      <c r="C455" s="4" t="s">
        <v>635</v>
      </c>
      <c r="D455" s="4" t="s">
        <v>83</v>
      </c>
      <c r="E455" s="4" t="s">
        <v>179</v>
      </c>
      <c r="F455" s="16" t="n">
        <v>607.142857142857</v>
      </c>
      <c r="G455" s="14" t="n">
        <f aca="false">IF(SUMIFS(F$6:F$473,D$6:D$473,D455,E$6:E$473,E455)=0,0,F455/SUMIFS(F$6:F$473,D$6:D$473,D455,E$6:E$473,E455))</f>
        <v>8.49788721279172E-005</v>
      </c>
      <c r="H455" s="5" t="n">
        <f aca="false">SUMIFS(Pareto_Categories!$G$6:$G$84,Pareto_Categories!$B$6:$B$84,D455,Pareto_Categories!$C$6:$C$84,E455)</f>
        <v>17.1493362305561</v>
      </c>
      <c r="I455" s="28" t="n">
        <f aca="false">G455*H455</f>
        <v>0.00145733125061508</v>
      </c>
      <c r="J455" s="29" t="n">
        <f aca="false">I455/$I$475</f>
        <v>1.25973070586892E-006</v>
      </c>
      <c r="K455" s="14" t="n">
        <f aca="false">SUM(J$6:J455)</f>
        <v>0.977497951300464</v>
      </c>
      <c r="L455" s="4" t="str">
        <f aca="false">IF(I455&lt;=0,"-",IF(K455-J455&lt;0.8,"A - top 80%",IF(K455-J455&lt;0.95,"B - next 15%","C - tail")))</f>
        <v>C - tail</v>
      </c>
      <c r="M455" s="16" t="n">
        <v>0</v>
      </c>
      <c r="N455" s="16" t="n">
        <v>607.142857142857</v>
      </c>
      <c r="O455" s="17" t="n">
        <f aca="false">N455-M455</f>
        <v>607.142857142857</v>
      </c>
      <c r="P455" s="14" t="str">
        <f aca="false">IF(M455&lt;1000,"new",R455)</f>
        <v>new</v>
      </c>
      <c r="Q455" s="4" t="str">
        <f aca="false">IF(LEFT(L455,1)="A",IF(R455&lt;-0.05,"2 FIX","1 PROTECT"),IF(AND(N455&gt;=300000,OR(P455="new",R455&gt;=0.25),LEFT(L455,1)&lt;&gt;"-"),"3 SCALE","4 MAINTAIN"))</f>
        <v>4 MAINTAIN</v>
      </c>
      <c r="R455" s="14" t="n">
        <f aca="false">IF(M455&lt;1000,0,N455/M455-1)</f>
        <v>0</v>
      </c>
    </row>
    <row r="456" customFormat="false" ht="15" hidden="false" customHeight="false" outlineLevel="0" collapsed="false">
      <c r="A456" s="25" t="n">
        <f aca="false">ROW()-5</f>
        <v>451</v>
      </c>
      <c r="B456" s="4" t="s">
        <v>410</v>
      </c>
      <c r="C456" s="4" t="s">
        <v>411</v>
      </c>
      <c r="D456" s="4" t="s">
        <v>83</v>
      </c>
      <c r="E456" s="4" t="s">
        <v>179</v>
      </c>
      <c r="F456" s="16" t="n">
        <v>601.785714285714</v>
      </c>
      <c r="G456" s="14" t="n">
        <f aca="false">IF(SUMIFS(F$6:F$473,D$6:D$473,D456,E$6:E$473,E456)=0,0,F456/SUMIFS(F$6:F$473,D$6:D$473,D456,E$6:E$473,E456))</f>
        <v>8.42290585503179E-005</v>
      </c>
      <c r="H456" s="5" t="n">
        <f aca="false">SUMIFS(Pareto_Categories!$G$6:$G$84,Pareto_Categories!$B$6:$B$84,D456,Pareto_Categories!$C$6:$C$84,E456)</f>
        <v>17.1493362305561</v>
      </c>
      <c r="I456" s="28" t="n">
        <f aca="false">G456*H456</f>
        <v>0.0014444724454626</v>
      </c>
      <c r="J456" s="29" t="n">
        <f aca="false">I456/$I$475</f>
        <v>1.24861543493478E-006</v>
      </c>
      <c r="K456" s="14" t="n">
        <f aca="false">SUM(J$6:J456)</f>
        <v>0.977499199915899</v>
      </c>
      <c r="L456" s="4" t="str">
        <f aca="false">IF(I456&lt;=0,"-",IF(K456-J456&lt;0.8,"A - top 80%",IF(K456-J456&lt;0.95,"B - next 15%","C - tail")))</f>
        <v>C - tail</v>
      </c>
      <c r="M456" s="16" t="n">
        <v>0</v>
      </c>
      <c r="N456" s="16" t="n">
        <v>1132.14285714286</v>
      </c>
      <c r="O456" s="17" t="n">
        <f aca="false">N456-M456</f>
        <v>1132.14285714286</v>
      </c>
      <c r="P456" s="14" t="str">
        <f aca="false">IF(M456&lt;1000,"new",R456)</f>
        <v>new</v>
      </c>
      <c r="Q456" s="4" t="str">
        <f aca="false">IF(LEFT(L456,1)="A",IF(R456&lt;-0.05,"2 FIX","1 PROTECT"),IF(AND(N456&gt;=300000,OR(P456="new",R456&gt;=0.25),LEFT(L456,1)&lt;&gt;"-"),"3 SCALE","4 MAINTAIN"))</f>
        <v>4 MAINTAIN</v>
      </c>
      <c r="R456" s="14" t="n">
        <f aca="false">IF(M456&lt;1000,0,N456/M456-1)</f>
        <v>0</v>
      </c>
    </row>
    <row r="457" customFormat="false" ht="15" hidden="false" customHeight="false" outlineLevel="0" collapsed="false">
      <c r="A457" s="25" t="n">
        <f aca="false">ROW()-5</f>
        <v>452</v>
      </c>
      <c r="B457" s="4" t="s">
        <v>1010</v>
      </c>
      <c r="C457" s="4" t="s">
        <v>1011</v>
      </c>
      <c r="D457" s="4" t="s">
        <v>78</v>
      </c>
      <c r="E457" s="4" t="s">
        <v>171</v>
      </c>
      <c r="F457" s="16" t="n">
        <v>491.071428571429</v>
      </c>
      <c r="G457" s="14" t="n">
        <f aca="false">IF(SUMIFS(F$6:F$473,D$6:D$473,D457,E$6:E$473,E457)=0,0,F457/SUMIFS(F$6:F$473,D$6:D$473,D457,E$6:E$473,E457))</f>
        <v>0.000798033899841638</v>
      </c>
      <c r="H457" s="5" t="n">
        <f aca="false">SUMIFS(Pareto_Categories!$G$6:$G$84,Pareto_Categories!$B$6:$B$84,D457,Pareto_Categories!$C$6:$C$84,E457)</f>
        <v>1.80666823968793</v>
      </c>
      <c r="I457" s="28" t="n">
        <f aca="false">G457*H457</f>
        <v>0.00144178250103819</v>
      </c>
      <c r="J457" s="29" t="n">
        <f aca="false">I457/$I$475</f>
        <v>1.24629022192156E-006</v>
      </c>
      <c r="K457" s="14" t="n">
        <f aca="false">SUM(J$6:J457)</f>
        <v>0.977500446206121</v>
      </c>
      <c r="L457" s="4" t="str">
        <f aca="false">IF(I457&lt;=0,"-",IF(K457-J457&lt;0.8,"A - top 80%",IF(K457-J457&lt;0.95,"B - next 15%","C - tail")))</f>
        <v>C - tail</v>
      </c>
      <c r="M457" s="16" t="n">
        <v>0</v>
      </c>
      <c r="N457" s="16" t="n">
        <v>491.071428571429</v>
      </c>
      <c r="O457" s="17" t="n">
        <f aca="false">N457-M457</f>
        <v>491.071428571429</v>
      </c>
      <c r="P457" s="14" t="str">
        <f aca="false">IF(M457&lt;1000,"new",R457)</f>
        <v>new</v>
      </c>
      <c r="Q457" s="4" t="str">
        <f aca="false">IF(LEFT(L457,1)="A",IF(R457&lt;-0.05,"2 FIX","1 PROTECT"),IF(AND(N457&gt;=300000,OR(P457="new",R457&gt;=0.25),LEFT(L457,1)&lt;&gt;"-"),"3 SCALE","4 MAINTAIN"))</f>
        <v>4 MAINTAIN</v>
      </c>
      <c r="R457" s="14" t="n">
        <f aca="false">IF(M457&lt;1000,0,N457/M457-1)</f>
        <v>0</v>
      </c>
    </row>
    <row r="458" customFormat="false" ht="15" hidden="false" customHeight="false" outlineLevel="0" collapsed="false">
      <c r="A458" s="25" t="n">
        <f aca="false">ROW()-5</f>
        <v>453</v>
      </c>
      <c r="B458" s="4" t="s">
        <v>1012</v>
      </c>
      <c r="C458" s="4" t="s">
        <v>1013</v>
      </c>
      <c r="D458" s="4" t="s">
        <v>83</v>
      </c>
      <c r="E458" s="4" t="s">
        <v>226</v>
      </c>
      <c r="F458" s="16" t="n">
        <v>267.857142857143</v>
      </c>
      <c r="G458" s="14" t="n">
        <f aca="false">IF(SUMIFS(F$6:F$473,D$6:D$473,D458,E$6:E$473,E458)=0,0,F458/SUMIFS(F$6:F$473,D$6:D$473,D458,E$6:E$473,E458))</f>
        <v>0.00185850576136786</v>
      </c>
      <c r="H458" s="5" t="n">
        <f aca="false">SUMIFS(Pareto_Categories!$G$6:$G$84,Pareto_Categories!$B$6:$B$84,D458,Pareto_Categories!$C$6:$C$84,E458)</f>
        <v>0.702899355173986</v>
      </c>
      <c r="I458" s="28" t="n">
        <f aca="false">G458*H458</f>
        <v>0.00130634250125261</v>
      </c>
      <c r="J458" s="29" t="n">
        <f aca="false">I458/$I$475</f>
        <v>1.12921462468808E-006</v>
      </c>
      <c r="K458" s="14" t="n">
        <f aca="false">SUM(J$6:J458)</f>
        <v>0.977501575420745</v>
      </c>
      <c r="L458" s="4" t="str">
        <f aca="false">IF(I458&lt;=0,"-",IF(K458-J458&lt;0.8,"A - top 80%",IF(K458-J458&lt;0.95,"B - next 15%","C - tail")))</f>
        <v>C - tail</v>
      </c>
      <c r="M458" s="16" t="n">
        <v>535.714285714286</v>
      </c>
      <c r="N458" s="16" t="n">
        <v>401.785714285714</v>
      </c>
      <c r="O458" s="17" t="n">
        <f aca="false">N458-M458</f>
        <v>-133.928571428571</v>
      </c>
      <c r="P458" s="14" t="str">
        <f aca="false">IF(M458&lt;1000,"new",R458)</f>
        <v>new</v>
      </c>
      <c r="Q458" s="4" t="str">
        <f aca="false">IF(LEFT(L458,1)="A",IF(R458&lt;-0.05,"2 FIX","1 PROTECT"),IF(AND(N458&gt;=300000,OR(P458="new",R458&gt;=0.25),LEFT(L458,1)&lt;&gt;"-"),"3 SCALE","4 MAINTAIN"))</f>
        <v>4 MAINTAIN</v>
      </c>
      <c r="R458" s="14" t="n">
        <f aca="false">IF(M458&lt;1000,0,N458/M458-1)</f>
        <v>0</v>
      </c>
    </row>
    <row r="459" customFormat="false" ht="15" hidden="false" customHeight="false" outlineLevel="0" collapsed="false">
      <c r="A459" s="25" t="n">
        <f aca="false">ROW()-5</f>
        <v>454</v>
      </c>
      <c r="B459" s="4" t="s">
        <v>538</v>
      </c>
      <c r="C459" s="4" t="s">
        <v>539</v>
      </c>
      <c r="D459" s="4" t="s">
        <v>83</v>
      </c>
      <c r="E459" s="4" t="s">
        <v>204</v>
      </c>
      <c r="F459" s="16" t="n">
        <v>262401.785714286</v>
      </c>
      <c r="G459" s="14" t="n">
        <f aca="false">IF(SUMIFS(F$6:F$473,D$6:D$473,D459,E$6:E$473,E459)=0,0,F459/SUMIFS(F$6:F$473,D$6:D$473,D459,E$6:E$473,E459))</f>
        <v>1</v>
      </c>
      <c r="H459" s="5" t="n">
        <f aca="false">SUMIFS(Pareto_Categories!$G$6:$G$84,Pareto_Categories!$B$6:$B$84,D459,Pareto_Categories!$C$6:$C$84,E459)</f>
        <v>0.00126336344303349</v>
      </c>
      <c r="I459" s="28" t="n">
        <f aca="false">G459*H459</f>
        <v>0.00126336344303349</v>
      </c>
      <c r="J459" s="29" t="n">
        <f aca="false">I459/$I$475</f>
        <v>1.09206312647853E-006</v>
      </c>
      <c r="K459" s="14" t="n">
        <f aca="false">SUM(J$6:J459)</f>
        <v>0.977502667483872</v>
      </c>
      <c r="L459" s="4" t="str">
        <f aca="false">IF(I459&lt;=0,"-",IF(K459-J459&lt;0.8,"A - top 80%",IF(K459-J459&lt;0.95,"B - next 15%","C - tail")))</f>
        <v>C - tail</v>
      </c>
      <c r="M459" s="16" t="n">
        <v>582575</v>
      </c>
      <c r="N459" s="16" t="n">
        <v>564016.964285714</v>
      </c>
      <c r="O459" s="17" t="n">
        <f aca="false">N459-M459</f>
        <v>-18558.0357142858</v>
      </c>
      <c r="P459" s="14" t="n">
        <f aca="false">IF(M459&lt;1000,"new",R459)</f>
        <v>-0.0318551872536339</v>
      </c>
      <c r="Q459" s="4" t="str">
        <f aca="false">IF(LEFT(L459,1)="A",IF(R459&lt;-0.05,"2 FIX","1 PROTECT"),IF(AND(N459&gt;=300000,OR(P459="new",R459&gt;=0.25),LEFT(L459,1)&lt;&gt;"-"),"3 SCALE","4 MAINTAIN"))</f>
        <v>4 MAINTAIN</v>
      </c>
      <c r="R459" s="14" t="n">
        <f aca="false">IF(M459&lt;1000,0,N459/M459-1)</f>
        <v>-0.0318551872536339</v>
      </c>
    </row>
    <row r="460" customFormat="false" ht="15" hidden="false" customHeight="false" outlineLevel="0" collapsed="false">
      <c r="A460" s="25" t="n">
        <f aca="false">ROW()-5</f>
        <v>455</v>
      </c>
      <c r="B460" s="4" t="s">
        <v>506</v>
      </c>
      <c r="C460" s="4" t="s">
        <v>507</v>
      </c>
      <c r="D460" s="4" t="s">
        <v>83</v>
      </c>
      <c r="E460" s="4" t="s">
        <v>203</v>
      </c>
      <c r="F460" s="16" t="n">
        <v>133029.464285714</v>
      </c>
      <c r="G460" s="14" t="n">
        <f aca="false">IF(SUMIFS(F$6:F$473,D$6:D$473,D460,E$6:E$473,E460)=0,0,F460/SUMIFS(F$6:F$473,D$6:D$473,D460,E$6:E$473,E460))</f>
        <v>0.344159863992719</v>
      </c>
      <c r="H460" s="5" t="n">
        <f aca="false">SUMIFS(Pareto_Categories!$G$6:$G$84,Pareto_Categories!$B$6:$B$84,D460,Pareto_Categories!$C$6:$C$84,E460)</f>
        <v>0.00362169343475946</v>
      </c>
      <c r="I460" s="28" t="n">
        <f aca="false">G460*H460</f>
        <v>0.00124644151993014</v>
      </c>
      <c r="J460" s="29" t="n">
        <f aca="false">I460/$I$475</f>
        <v>1.07743565854586E-006</v>
      </c>
      <c r="K460" s="14" t="n">
        <f aca="false">SUM(J$6:J460)</f>
        <v>0.97750374491953</v>
      </c>
      <c r="L460" s="4" t="str">
        <f aca="false">IF(I460&lt;=0,"-",IF(K460-J460&lt;0.8,"A - top 80%",IF(K460-J460&lt;0.95,"B - next 15%","C - tail")))</f>
        <v>C - tail</v>
      </c>
      <c r="M460" s="16" t="n">
        <v>344359.821428571</v>
      </c>
      <c r="N460" s="16" t="n">
        <v>266344.642857143</v>
      </c>
      <c r="O460" s="17" t="n">
        <f aca="false">N460-M460</f>
        <v>-78015.1785714286</v>
      </c>
      <c r="P460" s="14" t="n">
        <f aca="false">IF(M460&lt;1000,"new",R460)</f>
        <v>-0.226551338793776</v>
      </c>
      <c r="Q460" s="4" t="str">
        <f aca="false">IF(LEFT(L460,1)="A",IF(R460&lt;-0.05,"2 FIX","1 PROTECT"),IF(AND(N460&gt;=300000,OR(P460="new",R460&gt;=0.25),LEFT(L460,1)&lt;&gt;"-"),"3 SCALE","4 MAINTAIN"))</f>
        <v>4 MAINTAIN</v>
      </c>
      <c r="R460" s="14" t="n">
        <f aca="false">IF(M460&lt;1000,0,N460/M460-1)</f>
        <v>-0.226551338793776</v>
      </c>
    </row>
    <row r="461" customFormat="false" ht="15" hidden="false" customHeight="false" outlineLevel="0" collapsed="false">
      <c r="A461" s="25" t="n">
        <f aca="false">ROW()-5</f>
        <v>456</v>
      </c>
      <c r="B461" s="4" t="s">
        <v>430</v>
      </c>
      <c r="C461" s="4" t="s">
        <v>431</v>
      </c>
      <c r="D461" s="4" t="s">
        <v>83</v>
      </c>
      <c r="E461" s="4" t="s">
        <v>179</v>
      </c>
      <c r="F461" s="16" t="n">
        <v>439.285714285714</v>
      </c>
      <c r="G461" s="14" t="n">
        <f aca="false">IF(SUMIFS(F$6:F$473,D$6:D$473,D461,E$6:E$473,E461)=0,0,F461/SUMIFS(F$6:F$473,D$6:D$473,D461,E$6:E$473,E461))</f>
        <v>6.14847133631401E-005</v>
      </c>
      <c r="H461" s="5" t="n">
        <f aca="false">SUMIFS(Pareto_Categories!$G$6:$G$84,Pareto_Categories!$B$6:$B$84,D461,Pareto_Categories!$C$6:$C$84,E461)</f>
        <v>17.1493362305561</v>
      </c>
      <c r="I461" s="28" t="n">
        <f aca="false">G461*H461</f>
        <v>0.00105442202250385</v>
      </c>
      <c r="J461" s="29" t="n">
        <f aca="false">I461/$I$475</f>
        <v>9.11452216599278E-007</v>
      </c>
      <c r="K461" s="14" t="n">
        <f aca="false">SUM(J$6:J461)</f>
        <v>0.977504656371747</v>
      </c>
      <c r="L461" s="4" t="str">
        <f aca="false">IF(I461&lt;=0,"-",IF(K461-J461&lt;0.8,"A - top 80%",IF(K461-J461&lt;0.95,"B - next 15%","C - tail")))</f>
        <v>C - tail</v>
      </c>
      <c r="M461" s="16" t="n">
        <v>978.571428571428</v>
      </c>
      <c r="N461" s="16" t="n">
        <v>11299.1071428571</v>
      </c>
      <c r="O461" s="17" t="n">
        <f aca="false">N461-M461</f>
        <v>10320.5357142857</v>
      </c>
      <c r="P461" s="14" t="str">
        <f aca="false">IF(M461&lt;1000,"new",R461)</f>
        <v>new</v>
      </c>
      <c r="Q461" s="4" t="str">
        <f aca="false">IF(LEFT(L461,1)="A",IF(R461&lt;-0.05,"2 FIX","1 PROTECT"),IF(AND(N461&gt;=300000,OR(P461="new",R461&gt;=0.25),LEFT(L461,1)&lt;&gt;"-"),"3 SCALE","4 MAINTAIN"))</f>
        <v>4 MAINTAIN</v>
      </c>
      <c r="R461" s="14" t="n">
        <f aca="false">IF(M461&lt;1000,0,N461/M461-1)</f>
        <v>0</v>
      </c>
    </row>
    <row r="462" customFormat="false" ht="15" hidden="false" customHeight="false" outlineLevel="0" collapsed="false">
      <c r="A462" s="25" t="n">
        <f aca="false">ROW()-5</f>
        <v>457</v>
      </c>
      <c r="B462" s="4" t="s">
        <v>1014</v>
      </c>
      <c r="C462" s="4" t="s">
        <v>1015</v>
      </c>
      <c r="D462" s="4" t="s">
        <v>83</v>
      </c>
      <c r="E462" s="4" t="s">
        <v>171</v>
      </c>
      <c r="F462" s="16" t="n">
        <v>267.857142857143</v>
      </c>
      <c r="G462" s="14" t="n">
        <f aca="false">IF(SUMIFS(F$6:F$473,D$6:D$473,D462,E$6:E$473,E462)=0,0,F462/SUMIFS(F$6:F$473,D$6:D$473,D462,E$6:E$473,E462))</f>
        <v>0.017816842855446</v>
      </c>
      <c r="H462" s="5" t="n">
        <f aca="false">SUMIFS(Pareto_Categories!$G$6:$G$84,Pareto_Categories!$B$6:$B$84,D462,Pareto_Categories!$C$6:$C$84,E462)</f>
        <v>0.0559390289925168</v>
      </c>
      <c r="I462" s="28" t="n">
        <f aca="false">G462*H462</f>
        <v>0.00099665688904591</v>
      </c>
      <c r="J462" s="29" t="n">
        <f aca="false">I462/$I$475</f>
        <v>8.6151949724335E-007</v>
      </c>
      <c r="K462" s="14" t="n">
        <f aca="false">SUM(J$6:J462)</f>
        <v>0.977505517891244</v>
      </c>
      <c r="L462" s="4" t="str">
        <f aca="false">IF(I462&lt;=0,"-",IF(K462-J462&lt;0.8,"A - top 80%",IF(K462-J462&lt;0.95,"B - next 15%","C - tail")))</f>
        <v>C - tail</v>
      </c>
      <c r="M462" s="16" t="n">
        <v>89.2857142857143</v>
      </c>
      <c r="N462" s="16" t="n">
        <v>267.857142857143</v>
      </c>
      <c r="O462" s="17" t="n">
        <f aca="false">N462-M462</f>
        <v>178.571428571429</v>
      </c>
      <c r="P462" s="14" t="str">
        <f aca="false">IF(M462&lt;1000,"new",R462)</f>
        <v>new</v>
      </c>
      <c r="Q462" s="4" t="str">
        <f aca="false">IF(LEFT(L462,1)="A",IF(R462&lt;-0.05,"2 FIX","1 PROTECT"),IF(AND(N462&gt;=300000,OR(P462="new",R462&gt;=0.25),LEFT(L462,1)&lt;&gt;"-"),"3 SCALE","4 MAINTAIN"))</f>
        <v>4 MAINTAIN</v>
      </c>
      <c r="R462" s="14" t="n">
        <f aca="false">IF(M462&lt;1000,0,N462/M462-1)</f>
        <v>0</v>
      </c>
    </row>
    <row r="463" customFormat="false" ht="15" hidden="false" customHeight="false" outlineLevel="0" collapsed="false">
      <c r="A463" s="25" t="n">
        <f aca="false">ROW()-5</f>
        <v>458</v>
      </c>
      <c r="B463" s="4" t="s">
        <v>1016</v>
      </c>
      <c r="C463" s="4" t="s">
        <v>1017</v>
      </c>
      <c r="D463" s="4" t="s">
        <v>78</v>
      </c>
      <c r="E463" s="4" t="s">
        <v>171</v>
      </c>
      <c r="F463" s="16" t="n">
        <v>334.821428571429</v>
      </c>
      <c r="G463" s="14" t="n">
        <f aca="false">IF(SUMIFS(F$6:F$473,D$6:D$473,D463,E$6:E$473,E463)=0,0,F463/SUMIFS(F$6:F$473,D$6:D$473,D463,E$6:E$473,E463))</f>
        <v>0.000544114022619299</v>
      </c>
      <c r="H463" s="5" t="n">
        <f aca="false">SUMIFS(Pareto_Categories!$G$6:$G$84,Pareto_Categories!$B$6:$B$84,D463,Pareto_Categories!$C$6:$C$84,E463)</f>
        <v>1.80666823968793</v>
      </c>
      <c r="I463" s="28" t="n">
        <f aca="false">G463*H463</f>
        <v>0.000983033523435128</v>
      </c>
      <c r="J463" s="29" t="n">
        <f aca="false">I463/$I$475</f>
        <v>8.49743333128336E-007</v>
      </c>
      <c r="K463" s="14" t="n">
        <f aca="false">SUM(J$6:J463)</f>
        <v>0.977506367634577</v>
      </c>
      <c r="L463" s="4" t="str">
        <f aca="false">IF(I463&lt;=0,"-",IF(K463-J463&lt;0.8,"A - top 80%",IF(K463-J463&lt;0.95,"B - next 15%","C - tail")))</f>
        <v>C - tail</v>
      </c>
      <c r="M463" s="16" t="n">
        <v>0</v>
      </c>
      <c r="N463" s="16" t="n">
        <v>334.821428571429</v>
      </c>
      <c r="O463" s="17" t="n">
        <f aca="false">N463-M463</f>
        <v>334.821428571429</v>
      </c>
      <c r="P463" s="14" t="str">
        <f aca="false">IF(M463&lt;1000,"new",R463)</f>
        <v>new</v>
      </c>
      <c r="Q463" s="4" t="str">
        <f aca="false">IF(LEFT(L463,1)="A",IF(R463&lt;-0.05,"2 FIX","1 PROTECT"),IF(AND(N463&gt;=300000,OR(P463="new",R463&gt;=0.25),LEFT(L463,1)&lt;&gt;"-"),"3 SCALE","4 MAINTAIN"))</f>
        <v>4 MAINTAIN</v>
      </c>
      <c r="R463" s="14" t="n">
        <f aca="false">IF(M463&lt;1000,0,N463/M463-1)</f>
        <v>0</v>
      </c>
    </row>
    <row r="464" customFormat="false" ht="15" hidden="false" customHeight="false" outlineLevel="0" collapsed="false">
      <c r="A464" s="25" t="n">
        <f aca="false">ROW()-5</f>
        <v>459</v>
      </c>
      <c r="B464" s="4" t="s">
        <v>759</v>
      </c>
      <c r="C464" s="4" t="s">
        <v>760</v>
      </c>
      <c r="D464" s="4" t="s">
        <v>83</v>
      </c>
      <c r="E464" s="4" t="s">
        <v>168</v>
      </c>
      <c r="F464" s="16" t="n">
        <v>617.857142857143</v>
      </c>
      <c r="G464" s="14" t="n">
        <f aca="false">IF(SUMIFS(F$6:F$473,D$6:D$473,D464,E$6:E$473,E464)=0,0,F464/SUMIFS(F$6:F$473,D$6:D$473,D464,E$6:E$473,E464))</f>
        <v>0.0140166092768888</v>
      </c>
      <c r="H464" s="5" t="n">
        <f aca="false">SUMIFS(Pareto_Categories!$G$6:$G$84,Pareto_Categories!$B$6:$B$84,D464,Pareto_Categories!$C$6:$C$84,E464)</f>
        <v>0.0509924342834135</v>
      </c>
      <c r="I464" s="28" t="n">
        <f aca="false">G464*H464</f>
        <v>0.000714741027428036</v>
      </c>
      <c r="J464" s="29" t="n">
        <f aca="false">I464/$I$475</f>
        <v>6.1782880084084E-007</v>
      </c>
      <c r="K464" s="14" t="n">
        <f aca="false">SUM(J$6:J464)</f>
        <v>0.977506985463378</v>
      </c>
      <c r="L464" s="4" t="str">
        <f aca="false">IF(I464&lt;=0,"-",IF(K464-J464&lt;0.8,"A - top 80%",IF(K464-J464&lt;0.95,"B - next 15%","C - tail")))</f>
        <v>C - tail</v>
      </c>
      <c r="M464" s="16" t="n">
        <v>0</v>
      </c>
      <c r="N464" s="16" t="n">
        <v>617.857142857143</v>
      </c>
      <c r="O464" s="17" t="n">
        <f aca="false">N464-M464</f>
        <v>617.857142857143</v>
      </c>
      <c r="P464" s="14" t="str">
        <f aca="false">IF(M464&lt;1000,"new",R464)</f>
        <v>new</v>
      </c>
      <c r="Q464" s="4" t="str">
        <f aca="false">IF(LEFT(L464,1)="A",IF(R464&lt;-0.05,"2 FIX","1 PROTECT"),IF(AND(N464&gt;=300000,OR(P464="new",R464&gt;=0.25),LEFT(L464,1)&lt;&gt;"-"),"3 SCALE","4 MAINTAIN"))</f>
        <v>4 MAINTAIN</v>
      </c>
      <c r="R464" s="14" t="n">
        <f aca="false">IF(M464&lt;1000,0,N464/M464-1)</f>
        <v>0</v>
      </c>
    </row>
    <row r="465" customFormat="false" ht="15" hidden="false" customHeight="false" outlineLevel="0" collapsed="false">
      <c r="A465" s="25" t="n">
        <f aca="false">ROW()-5</f>
        <v>460</v>
      </c>
      <c r="B465" s="4" t="s">
        <v>543</v>
      </c>
      <c r="C465" s="4" t="s">
        <v>544</v>
      </c>
      <c r="D465" s="4" t="s">
        <v>83</v>
      </c>
      <c r="E465" s="4" t="s">
        <v>168</v>
      </c>
      <c r="F465" s="16" t="n">
        <v>555.357142857143</v>
      </c>
      <c r="G465" s="14" t="n">
        <f aca="false">IF(SUMIFS(F$6:F$473,D$6:D$473,D465,E$6:E$473,E465)=0,0,F465/SUMIFS(F$6:F$473,D$6:D$473,D465,E$6:E$473,E465))</f>
        <v>0.0125987441766255</v>
      </c>
      <c r="H465" s="5" t="n">
        <f aca="false">SUMIFS(Pareto_Categories!$G$6:$G$84,Pareto_Categories!$B$6:$B$84,D465,Pareto_Categories!$C$6:$C$84,E465)</f>
        <v>0.0509924342834135</v>
      </c>
      <c r="I465" s="28" t="n">
        <f aca="false">G465*H465</f>
        <v>0.000642440634480113</v>
      </c>
      <c r="J465" s="29" t="n">
        <f aca="false">I465/$I$475</f>
        <v>5.55331667807807E-007</v>
      </c>
      <c r="K465" s="14" t="n">
        <f aca="false">SUM(J$6:J465)</f>
        <v>0.977507540795046</v>
      </c>
      <c r="L465" s="4" t="str">
        <f aca="false">IF(I465&lt;=0,"-",IF(K465-J465&lt;0.8,"A - top 80%",IF(K465-J465&lt;0.95,"B - next 15%","C - tail")))</f>
        <v>C - tail</v>
      </c>
      <c r="M465" s="16" t="n">
        <v>0</v>
      </c>
      <c r="N465" s="16" t="n">
        <v>555.357142857143</v>
      </c>
      <c r="O465" s="17" t="n">
        <f aca="false">N465-M465</f>
        <v>555.357142857143</v>
      </c>
      <c r="P465" s="14" t="str">
        <f aca="false">IF(M465&lt;1000,"new",R465)</f>
        <v>new</v>
      </c>
      <c r="Q465" s="4" t="str">
        <f aca="false">IF(LEFT(L465,1)="A",IF(R465&lt;-0.05,"2 FIX","1 PROTECT"),IF(AND(N465&gt;=300000,OR(P465="new",R465&gt;=0.25),LEFT(L465,1)&lt;&gt;"-"),"3 SCALE","4 MAINTAIN"))</f>
        <v>4 MAINTAIN</v>
      </c>
      <c r="R465" s="14" t="n">
        <f aca="false">IF(M465&lt;1000,0,N465/M465-1)</f>
        <v>0</v>
      </c>
    </row>
    <row r="466" customFormat="false" ht="15" hidden="false" customHeight="false" outlineLevel="0" collapsed="false">
      <c r="A466" s="25" t="n">
        <f aca="false">ROW()-5</f>
        <v>461</v>
      </c>
      <c r="B466" s="4" t="s">
        <v>1018</v>
      </c>
      <c r="C466" s="4" t="s">
        <v>1019</v>
      </c>
      <c r="D466" s="4" t="s">
        <v>78</v>
      </c>
      <c r="E466" s="4" t="s">
        <v>171</v>
      </c>
      <c r="F466" s="16" t="n">
        <v>184.821428571429</v>
      </c>
      <c r="G466" s="14" t="n">
        <f aca="false">IF(SUMIFS(F$6:F$473,D$6:D$473,D466,E$6:E$473,E466)=0,0,F466/SUMIFS(F$6:F$473,D$6:D$473,D466,E$6:E$473,E466))</f>
        <v>0.000300350940485853</v>
      </c>
      <c r="H466" s="5" t="n">
        <f aca="false">SUMIFS(Pareto_Categories!$G$6:$G$84,Pareto_Categories!$B$6:$B$84,D466,Pareto_Categories!$C$6:$C$84,E466)</f>
        <v>1.80666823968793</v>
      </c>
      <c r="I466" s="28" t="n">
        <f aca="false">G466*H466</f>
        <v>0.000542634504936191</v>
      </c>
      <c r="J466" s="29" t="n">
        <f aca="false">I466/$I$475</f>
        <v>4.69058319886842E-007</v>
      </c>
      <c r="K466" s="14" t="n">
        <f aca="false">SUM(J$6:J466)</f>
        <v>0.977508009853366</v>
      </c>
      <c r="L466" s="4" t="str">
        <f aca="false">IF(I466&lt;=0,"-",IF(K466-J466&lt;0.8,"A - top 80%",IF(K466-J466&lt;0.95,"B - next 15%","C - tail")))</f>
        <v>C - tail</v>
      </c>
      <c r="M466" s="16" t="n">
        <v>308.035714285714</v>
      </c>
      <c r="N466" s="16" t="n">
        <v>184.821428571429</v>
      </c>
      <c r="O466" s="17" t="n">
        <f aca="false">N466-M466</f>
        <v>-123.214285714286</v>
      </c>
      <c r="P466" s="14" t="str">
        <f aca="false">IF(M466&lt;1000,"new",R466)</f>
        <v>new</v>
      </c>
      <c r="Q466" s="4" t="str">
        <f aca="false">IF(LEFT(L466,1)="A",IF(R466&lt;-0.05,"2 FIX","1 PROTECT"),IF(AND(N466&gt;=300000,OR(P466="new",R466&gt;=0.25),LEFT(L466,1)&lt;&gt;"-"),"3 SCALE","4 MAINTAIN"))</f>
        <v>4 MAINTAIN</v>
      </c>
      <c r="R466" s="14" t="n">
        <f aca="false">IF(M466&lt;1000,0,N466/M466-1)</f>
        <v>0</v>
      </c>
    </row>
    <row r="467" customFormat="false" ht="15" hidden="false" customHeight="false" outlineLevel="0" collapsed="false">
      <c r="A467" s="25" t="n">
        <f aca="false">ROW()-5</f>
        <v>462</v>
      </c>
      <c r="B467" s="4" t="s">
        <v>1020</v>
      </c>
      <c r="C467" s="4" t="s">
        <v>1021</v>
      </c>
      <c r="D467" s="4" t="s">
        <v>78</v>
      </c>
      <c r="E467" s="4" t="s">
        <v>230</v>
      </c>
      <c r="F467" s="16" t="n">
        <v>631045.660714286</v>
      </c>
      <c r="G467" s="14" t="n">
        <f aca="false">IF(SUMIFS(F$6:F$473,D$6:D$473,D467,E$6:E$473,E467)=0,0,F467/SUMIFS(F$6:F$473,D$6:D$473,D467,E$6:E$473,E467))</f>
        <v>0.0280150447869001</v>
      </c>
      <c r="H467" s="5" t="n">
        <f aca="false">SUMIFS(Pareto_Categories!$G$6:$G$84,Pareto_Categories!$B$6:$B$84,D467,Pareto_Categories!$C$6:$C$84,E467)</f>
        <v>0.0180774872904102</v>
      </c>
      <c r="I467" s="28" t="n">
        <f aca="false">G467*H467</f>
        <v>0.00050644161607546</v>
      </c>
      <c r="J467" s="29" t="n">
        <f aca="false">I467/$I$475</f>
        <v>4.37772849673587E-007</v>
      </c>
      <c r="K467" s="14" t="n">
        <f aca="false">SUM(J$6:J467)</f>
        <v>0.977508447626216</v>
      </c>
      <c r="L467" s="4" t="str">
        <f aca="false">IF(I467&lt;=0,"-",IF(K467-J467&lt;0.8,"A - top 80%",IF(K467-J467&lt;0.95,"B - next 15%","C - tail")))</f>
        <v>C - tail</v>
      </c>
      <c r="M467" s="16" t="n">
        <v>947826.910714286</v>
      </c>
      <c r="N467" s="16" t="n">
        <v>1180801.91071429</v>
      </c>
      <c r="O467" s="17" t="n">
        <f aca="false">N467-M467</f>
        <v>232975</v>
      </c>
      <c r="P467" s="14" t="n">
        <f aca="false">IF(M467&lt;1000,"new",R467)</f>
        <v>0.245799098302062</v>
      </c>
      <c r="Q467" s="4" t="str">
        <f aca="false">IF(LEFT(L467,1)="A",IF(R467&lt;-0.05,"2 FIX","1 PROTECT"),IF(AND(N467&gt;=300000,OR(P467="new",R467&gt;=0.25),LEFT(L467,1)&lt;&gt;"-"),"3 SCALE","4 MAINTAIN"))</f>
        <v>4 MAINTAIN</v>
      </c>
      <c r="R467" s="14" t="n">
        <f aca="false">IF(M467&lt;1000,0,N467/M467-1)</f>
        <v>0.245799098302062</v>
      </c>
    </row>
    <row r="468" customFormat="false" ht="15" hidden="false" customHeight="false" outlineLevel="0" collapsed="false">
      <c r="A468" s="25" t="n">
        <f aca="false">ROW()-5</f>
        <v>463</v>
      </c>
      <c r="B468" s="4" t="s">
        <v>1018</v>
      </c>
      <c r="C468" s="4" t="s">
        <v>1019</v>
      </c>
      <c r="D468" s="4" t="s">
        <v>83</v>
      </c>
      <c r="E468" s="4" t="s">
        <v>171</v>
      </c>
      <c r="F468" s="16" t="n">
        <v>123.214285714286</v>
      </c>
      <c r="G468" s="14" t="n">
        <f aca="false">IF(SUMIFS(F$6:F$473,D$6:D$473,D468,E$6:E$473,E468)=0,0,F468/SUMIFS(F$6:F$473,D$6:D$473,D468,E$6:E$473,E468))</f>
        <v>0.00819574771350517</v>
      </c>
      <c r="H468" s="5" t="n">
        <f aca="false">SUMIFS(Pareto_Categories!$G$6:$G$84,Pareto_Categories!$B$6:$B$84,D468,Pareto_Categories!$C$6:$C$84,E468)</f>
        <v>0.0559390289925168</v>
      </c>
      <c r="I468" s="28" t="n">
        <f aca="false">G468*H468</f>
        <v>0.000458462168961119</v>
      </c>
      <c r="J468" s="29" t="n">
        <f aca="false">I468/$I$475</f>
        <v>3.96298968731941E-007</v>
      </c>
      <c r="K468" s="14" t="n">
        <f aca="false">SUM(J$6:J468)</f>
        <v>0.977508843925184</v>
      </c>
      <c r="L468" s="4" t="str">
        <f aca="false">IF(I468&lt;=0,"-",IF(K468-J468&lt;0.8,"A - top 80%",IF(K468-J468&lt;0.95,"B - next 15%","C - tail")))</f>
        <v>C - tail</v>
      </c>
      <c r="M468" s="16" t="n">
        <v>0</v>
      </c>
      <c r="N468" s="16" t="n">
        <v>123.214285714286</v>
      </c>
      <c r="O468" s="17" t="n">
        <f aca="false">N468-M468</f>
        <v>123.214285714286</v>
      </c>
      <c r="P468" s="14" t="str">
        <f aca="false">IF(M468&lt;1000,"new",R468)</f>
        <v>new</v>
      </c>
      <c r="Q468" s="4" t="str">
        <f aca="false">IF(LEFT(L468,1)="A",IF(R468&lt;-0.05,"2 FIX","1 PROTECT"),IF(AND(N468&gt;=300000,OR(P468="new",R468&gt;=0.25),LEFT(L468,1)&lt;&gt;"-"),"3 SCALE","4 MAINTAIN"))</f>
        <v>4 MAINTAIN</v>
      </c>
      <c r="R468" s="14" t="n">
        <f aca="false">IF(M468&lt;1000,0,N468/M468-1)</f>
        <v>0</v>
      </c>
    </row>
    <row r="469" customFormat="false" ht="15" hidden="false" customHeight="false" outlineLevel="0" collapsed="false">
      <c r="A469" s="25" t="n">
        <f aca="false">ROW()-5</f>
        <v>464</v>
      </c>
      <c r="B469" s="4" t="s">
        <v>1022</v>
      </c>
      <c r="C469" s="4" t="s">
        <v>1023</v>
      </c>
      <c r="D469" s="4" t="s">
        <v>78</v>
      </c>
      <c r="E469" s="4" t="s">
        <v>171</v>
      </c>
      <c r="F469" s="16" t="n">
        <v>111.607142857143</v>
      </c>
      <c r="G469" s="14" t="n">
        <f aca="false">IF(SUMIFS(F$6:F$473,D$6:D$473,D469,E$6:E$473,E469)=0,0,F469/SUMIFS(F$6:F$473,D$6:D$473,D469,E$6:E$473,E469))</f>
        <v>0.0001813713408731</v>
      </c>
      <c r="H469" s="5" t="n">
        <f aca="false">SUMIFS(Pareto_Categories!$G$6:$G$84,Pareto_Categories!$B$6:$B$84,D469,Pareto_Categories!$C$6:$C$84,E469)</f>
        <v>1.80666823968793</v>
      </c>
      <c r="I469" s="28" t="n">
        <f aca="false">G469*H469</f>
        <v>0.000327677841145042</v>
      </c>
      <c r="J469" s="29" t="n">
        <f aca="false">I469/$I$475</f>
        <v>2.83247777709445E-007</v>
      </c>
      <c r="K469" s="14" t="n">
        <f aca="false">SUM(J$6:J469)</f>
        <v>0.977509127172962</v>
      </c>
      <c r="L469" s="4" t="str">
        <f aca="false">IF(I469&lt;=0,"-",IF(K469-J469&lt;0.8,"A - top 80%",IF(K469-J469&lt;0.95,"B - next 15%","C - tail")))</f>
        <v>C - tail</v>
      </c>
      <c r="M469" s="16" t="n">
        <v>0</v>
      </c>
      <c r="N469" s="16" t="n">
        <v>111.607142857143</v>
      </c>
      <c r="O469" s="17" t="n">
        <f aca="false">N469-M469</f>
        <v>111.607142857143</v>
      </c>
      <c r="P469" s="14" t="str">
        <f aca="false">IF(M469&lt;1000,"new",R469)</f>
        <v>new</v>
      </c>
      <c r="Q469" s="4" t="str">
        <f aca="false">IF(LEFT(L469,1)="A",IF(R469&lt;-0.05,"2 FIX","1 PROTECT"),IF(AND(N469&gt;=300000,OR(P469="new",R469&gt;=0.25),LEFT(L469,1)&lt;&gt;"-"),"3 SCALE","4 MAINTAIN"))</f>
        <v>4 MAINTAIN</v>
      </c>
      <c r="R469" s="14" t="n">
        <f aca="false">IF(M469&lt;1000,0,N469/M469-1)</f>
        <v>0</v>
      </c>
    </row>
    <row r="470" customFormat="false" ht="15" hidden="false" customHeight="false" outlineLevel="0" collapsed="false">
      <c r="A470" s="25" t="n">
        <f aca="false">ROW()-5</f>
        <v>465</v>
      </c>
      <c r="B470" s="4" t="s">
        <v>1014</v>
      </c>
      <c r="C470" s="4" t="s">
        <v>1015</v>
      </c>
      <c r="D470" s="4" t="s">
        <v>78</v>
      </c>
      <c r="E470" s="4" t="s">
        <v>171</v>
      </c>
      <c r="F470" s="16" t="n">
        <v>89.2857142857143</v>
      </c>
      <c r="G470" s="14" t="n">
        <f aca="false">IF(SUMIFS(F$6:F$473,D$6:D$473,D470,E$6:E$473,E470)=0,0,F470/SUMIFS(F$6:F$473,D$6:D$473,D470,E$6:E$473,E470))</f>
        <v>0.00014509707269848</v>
      </c>
      <c r="H470" s="5" t="n">
        <f aca="false">SUMIFS(Pareto_Categories!$G$6:$G$84,Pareto_Categories!$B$6:$B$84,D470,Pareto_Categories!$C$6:$C$84,E470)</f>
        <v>1.80666823968793</v>
      </c>
      <c r="I470" s="28" t="n">
        <f aca="false">G470*H470</f>
        <v>0.000262142272916034</v>
      </c>
      <c r="J470" s="29" t="n">
        <f aca="false">I470/$I$475</f>
        <v>2.26598222167556E-007</v>
      </c>
      <c r="K470" s="14" t="n">
        <f aca="false">SUM(J$6:J470)</f>
        <v>0.977509353771184</v>
      </c>
      <c r="L470" s="4" t="str">
        <f aca="false">IF(I470&lt;=0,"-",IF(K470-J470&lt;0.8,"A - top 80%",IF(K470-J470&lt;0.95,"B - next 15%","C - tail")))</f>
        <v>C - tail</v>
      </c>
      <c r="M470" s="16" t="n">
        <v>892.857142857143</v>
      </c>
      <c r="N470" s="16" t="n">
        <v>357.142857142857</v>
      </c>
      <c r="O470" s="17" t="n">
        <f aca="false">N470-M470</f>
        <v>-535.714285714286</v>
      </c>
      <c r="P470" s="14" t="str">
        <f aca="false">IF(M470&lt;1000,"new",R470)</f>
        <v>new</v>
      </c>
      <c r="Q470" s="4" t="str">
        <f aca="false">IF(LEFT(L470,1)="A",IF(R470&lt;-0.05,"2 FIX","1 PROTECT"),IF(AND(N470&gt;=300000,OR(P470="new",R470&gt;=0.25),LEFT(L470,1)&lt;&gt;"-"),"3 SCALE","4 MAINTAIN"))</f>
        <v>4 MAINTAIN</v>
      </c>
      <c r="R470" s="14" t="n">
        <f aca="false">IF(M470&lt;1000,0,N470/M470-1)</f>
        <v>0</v>
      </c>
    </row>
    <row r="471" customFormat="false" ht="15" hidden="false" customHeight="false" outlineLevel="0" collapsed="false">
      <c r="A471" s="25" t="n">
        <f aca="false">ROW()-5</f>
        <v>466</v>
      </c>
      <c r="B471" s="4" t="s">
        <v>1024</v>
      </c>
      <c r="C471" s="4" t="s">
        <v>1025</v>
      </c>
      <c r="D471" s="4" t="s">
        <v>83</v>
      </c>
      <c r="E471" s="4" t="s">
        <v>226</v>
      </c>
      <c r="F471" s="16" t="n">
        <v>53.5714285714286</v>
      </c>
      <c r="G471" s="14" t="n">
        <f aca="false">IF(SUMIFS(F$6:F$473,D$6:D$473,D471,E$6:E$473,E471)=0,0,F471/SUMIFS(F$6:F$473,D$6:D$473,D471,E$6:E$473,E471))</f>
        <v>0.000371701152273572</v>
      </c>
      <c r="H471" s="5" t="n">
        <f aca="false">SUMIFS(Pareto_Categories!$G$6:$G$84,Pareto_Categories!$B$6:$B$84,D471,Pareto_Categories!$C$6:$C$84,E471)</f>
        <v>0.702899355173986</v>
      </c>
      <c r="I471" s="28" t="n">
        <f aca="false">G471*H471</f>
        <v>0.000261268500250521</v>
      </c>
      <c r="J471" s="29" t="n">
        <f aca="false">I471/$I$475</f>
        <v>2.25842924937616E-007</v>
      </c>
      <c r="K471" s="14" t="n">
        <f aca="false">SUM(J$6:J471)</f>
        <v>0.977509579614109</v>
      </c>
      <c r="L471" s="4" t="str">
        <f aca="false">IF(I471&lt;=0,"-",IF(K471-J471&lt;0.8,"A - top 80%",IF(K471-J471&lt;0.95,"B - next 15%","C - tail")))</f>
        <v>C - tail</v>
      </c>
      <c r="M471" s="16" t="n">
        <v>1500</v>
      </c>
      <c r="N471" s="16" t="n">
        <v>535.714285714286</v>
      </c>
      <c r="O471" s="17" t="n">
        <f aca="false">N471-M471</f>
        <v>-964.285714285714</v>
      </c>
      <c r="P471" s="14" t="n">
        <f aca="false">IF(M471&lt;1000,"new",R471)</f>
        <v>-0.642857142857143</v>
      </c>
      <c r="Q471" s="4" t="str">
        <f aca="false">IF(LEFT(L471,1)="A",IF(R471&lt;-0.05,"2 FIX","1 PROTECT"),IF(AND(N471&gt;=300000,OR(P471="new",R471&gt;=0.25),LEFT(L471,1)&lt;&gt;"-"),"3 SCALE","4 MAINTAIN"))</f>
        <v>4 MAINTAIN</v>
      </c>
      <c r="R471" s="14" t="n">
        <f aca="false">IF(M471&lt;1000,0,N471/M471-1)</f>
        <v>-0.642857142857143</v>
      </c>
    </row>
    <row r="472" customFormat="false" ht="15" hidden="false" customHeight="false" outlineLevel="0" collapsed="false">
      <c r="A472" s="25" t="n">
        <f aca="false">ROW()-5</f>
        <v>467</v>
      </c>
      <c r="B472" s="4" t="s">
        <v>1022</v>
      </c>
      <c r="C472" s="4" t="s">
        <v>1023</v>
      </c>
      <c r="D472" s="4" t="s">
        <v>83</v>
      </c>
      <c r="E472" s="4" t="s">
        <v>171</v>
      </c>
      <c r="F472" s="16" t="n">
        <v>44.6428571428571</v>
      </c>
      <c r="G472" s="14" t="n">
        <f aca="false">IF(SUMIFS(F$6:F$473,D$6:D$473,D472,E$6:E$473,E472)=0,0,F472/SUMIFS(F$6:F$473,D$6:D$473,D472,E$6:E$473,E472))</f>
        <v>0.002969473809241</v>
      </c>
      <c r="H472" s="5" t="n">
        <f aca="false">SUMIFS(Pareto_Categories!$G$6:$G$84,Pareto_Categories!$B$6:$B$84,D472,Pareto_Categories!$C$6:$C$84,E472)</f>
        <v>0.0559390289925168</v>
      </c>
      <c r="I472" s="28" t="n">
        <f aca="false">G472*H472</f>
        <v>0.000166109481507652</v>
      </c>
      <c r="J472" s="29" t="n">
        <f aca="false">I472/$I$475</f>
        <v>1.43586582873892E-007</v>
      </c>
      <c r="K472" s="14" t="n">
        <f aca="false">SUM(J$6:J472)</f>
        <v>0.977509723200692</v>
      </c>
      <c r="L472" s="4" t="str">
        <f aca="false">IF(I472&lt;=0,"-",IF(K472-J472&lt;0.8,"A - top 80%",IF(K472-J472&lt;0.95,"B - next 15%","C - tail")))</f>
        <v>C - tail</v>
      </c>
      <c r="M472" s="16" t="n">
        <v>0</v>
      </c>
      <c r="N472" s="16" t="n">
        <v>44.6428571428571</v>
      </c>
      <c r="O472" s="17" t="n">
        <f aca="false">N472-M472</f>
        <v>44.6428571428571</v>
      </c>
      <c r="P472" s="14" t="str">
        <f aca="false">IF(M472&lt;1000,"new",R472)</f>
        <v>new</v>
      </c>
      <c r="Q472" s="4" t="str">
        <f aca="false">IF(LEFT(L472,1)="A",IF(R472&lt;-0.05,"2 FIX","1 PROTECT"),IF(AND(N472&gt;=300000,OR(P472="new",R472&gt;=0.25),LEFT(L472,1)&lt;&gt;"-"),"3 SCALE","4 MAINTAIN"))</f>
        <v>4 MAINTAIN</v>
      </c>
      <c r="R472" s="14" t="n">
        <f aca="false">IF(M472&lt;1000,0,N472/M472-1)</f>
        <v>0</v>
      </c>
    </row>
    <row r="473" customFormat="false" ht="15" hidden="false" customHeight="false" outlineLevel="0" collapsed="false">
      <c r="A473" s="25" t="n">
        <f aca="false">ROW()-5</f>
        <v>468</v>
      </c>
      <c r="B473" s="4" t="s">
        <v>1026</v>
      </c>
      <c r="C473" s="4" t="s">
        <v>1027</v>
      </c>
      <c r="D473" s="4" t="s">
        <v>83</v>
      </c>
      <c r="E473" s="4" t="s">
        <v>226</v>
      </c>
      <c r="F473" s="16" t="n">
        <v>17.8571428571429</v>
      </c>
      <c r="G473" s="14" t="n">
        <f aca="false">IF(SUMIFS(F$6:F$473,D$6:D$473,D473,E$6:E$473,E473)=0,0,F473/SUMIFS(F$6:F$473,D$6:D$473,D473,E$6:E$473,E473))</f>
        <v>0.000123900384091191</v>
      </c>
      <c r="H473" s="5" t="n">
        <f aca="false">SUMIFS(Pareto_Categories!$G$6:$G$84,Pareto_Categories!$B$6:$B$84,D473,Pareto_Categories!$C$6:$C$84,E473)</f>
        <v>0.702899355173986</v>
      </c>
      <c r="I473" s="28" t="n">
        <f aca="false">G473*H473</f>
        <v>8.70895000835071E-005</v>
      </c>
      <c r="J473" s="29" t="n">
        <f aca="false">I473/$I$475</f>
        <v>7.52809749792052E-008</v>
      </c>
      <c r="K473" s="14" t="n">
        <f aca="false">SUM(J$6:J473)</f>
        <v>0.977509798481667</v>
      </c>
      <c r="L473" s="4" t="str">
        <f aca="false">IF(I473&lt;=0,"-",IF(K473-J473&lt;0.8,"A - top 80%",IF(K473-J473&lt;0.95,"B - next 15%","C - tail")))</f>
        <v>C - tail</v>
      </c>
      <c r="M473" s="16" t="n">
        <v>0</v>
      </c>
      <c r="N473" s="16" t="n">
        <v>17.8571428571429</v>
      </c>
      <c r="O473" s="17" t="n">
        <f aca="false">N473-M473</f>
        <v>17.8571428571429</v>
      </c>
      <c r="P473" s="14" t="str">
        <f aca="false">IF(M473&lt;1000,"new",R473)</f>
        <v>new</v>
      </c>
      <c r="Q473" s="4" t="str">
        <f aca="false">IF(LEFT(L473,1)="A",IF(R473&lt;-0.05,"2 FIX","1 PROTECT"),IF(AND(N473&gt;=300000,OR(P473="new",R473&gt;=0.25),LEFT(L473,1)&lt;&gt;"-"),"3 SCALE","4 MAINTAIN"))</f>
        <v>4 MAINTAIN</v>
      </c>
      <c r="R473" s="14" t="n">
        <f aca="false">IF(M473&lt;1000,0,N473/M473-1)</f>
        <v>0</v>
      </c>
    </row>
    <row r="474" customFormat="false" ht="15" hidden="false" customHeight="false" outlineLevel="0" collapsed="false">
      <c r="C474" s="4" t="s">
        <v>1028</v>
      </c>
      <c r="I474" s="30" t="n">
        <v>26.018</v>
      </c>
      <c r="J474" s="29" t="n">
        <f aca="false">I474/$I$475</f>
        <v>0.0224902015183331</v>
      </c>
    </row>
    <row r="475" customFormat="false" ht="15" hidden="false" customHeight="false" outlineLevel="0" collapsed="false">
      <c r="C475" s="7" t="s">
        <v>1029</v>
      </c>
      <c r="H475" s="5" t="n">
        <f aca="false">Model!J19</f>
        <v>1156.85886866429</v>
      </c>
      <c r="I475" s="13" t="n">
        <f aca="false">SUM(I6:I474)</f>
        <v>1156.85935400762</v>
      </c>
    </row>
    <row r="477" customFormat="false" ht="15" hidden="false" customHeight="false" outlineLevel="0" collapsed="false">
      <c r="C477" s="7" t="s">
        <v>1030</v>
      </c>
      <c r="I477" s="27" t="n">
        <f aca="false">COUNTIF(L6:L473,"A*")</f>
        <v>98</v>
      </c>
    </row>
    <row r="478" customFormat="false" ht="15" hidden="false" customHeight="false" outlineLevel="0" collapsed="false">
      <c r="C478" s="7" t="s">
        <v>1031</v>
      </c>
      <c r="I478" s="27" t="n">
        <f aca="false">COUNTIF(I6:I473,"&gt;0")</f>
        <v>468</v>
      </c>
    </row>
    <row r="479" customFormat="false" ht="15" hidden="false" customHeight="false" outlineLevel="0" collapsed="false">
      <c r="C479" s="7" t="s">
        <v>1032</v>
      </c>
      <c r="I479" s="20" t="n">
        <f aca="false">I477/I478</f>
        <v>0.209401709401709</v>
      </c>
    </row>
    <row r="480" customFormat="false" ht="15" hidden="false" customHeight="false" outlineLevel="0" collapsed="false">
      <c r="C480" s="7" t="s">
        <v>1033</v>
      </c>
      <c r="I480" s="20" t="n">
        <f aca="false">SUMIF(L6:L473,"A*",I6:I473)/I475</f>
        <v>0.801445247158281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3" min="3" style="0" width="34"/>
    <col collapsed="false" customWidth="true" hidden="false" outlineLevel="0" max="4" min="4" style="0" width="22"/>
    <col collapsed="false" customWidth="true" hidden="false" outlineLevel="0" max="5" min="5" style="0" width="18"/>
    <col collapsed="false" customWidth="true" hidden="false" outlineLevel="0" max="6" min="6" style="0" width="22"/>
    <col collapsed="false" customWidth="true" hidden="false" outlineLevel="0" max="7" min="7" style="0" width="16"/>
  </cols>
  <sheetData>
    <row r="1" customFormat="false" ht="15" hidden="false" customHeight="false" outlineLevel="0" collapsed="false">
      <c r="A1" s="1" t="s">
        <v>1034</v>
      </c>
    </row>
    <row r="2" customFormat="false" ht="15" hidden="false" customHeight="false" outlineLevel="0" collapsed="false">
      <c r="A2" s="2" t="s">
        <v>1035</v>
      </c>
    </row>
    <row r="4" customFormat="false" ht="23.85" hidden="false" customHeight="false" outlineLevel="0" collapsed="false">
      <c r="A4" s="3" t="s">
        <v>1036</v>
      </c>
      <c r="B4" s="3" t="s">
        <v>1037</v>
      </c>
      <c r="C4" s="3" t="s">
        <v>1038</v>
      </c>
      <c r="D4" s="3" t="s">
        <v>266</v>
      </c>
      <c r="E4" s="3" t="s">
        <v>216</v>
      </c>
      <c r="F4" s="3" t="s">
        <v>1039</v>
      </c>
      <c r="G4" s="3" t="s">
        <v>1040</v>
      </c>
    </row>
    <row r="5" customFormat="false" ht="31.5" hidden="false" customHeight="true" outlineLevel="0" collapsed="false">
      <c r="A5" s="7" t="s">
        <v>1041</v>
      </c>
      <c r="B5" s="31" t="s">
        <v>1042</v>
      </c>
      <c r="C5" s="25" t="n">
        <f aca="false">COUNTIF(Pareto_Items!$Q$6:$Q$473,A5)</f>
        <v>77</v>
      </c>
      <c r="D5" s="10" t="n">
        <f aca="false">SUMIF(Pareto_Items!$Q$6:$Q$473,A5,Pareto_Items!$I$6:$I$473)</f>
        <v>754.870559241259</v>
      </c>
      <c r="E5" s="14" t="n">
        <f aca="false">D5/Pareto_Items!$I$475</f>
        <v>0.652517141886106</v>
      </c>
      <c r="F5" s="32" t="n">
        <v>0</v>
      </c>
      <c r="G5" s="10" t="n">
        <f aca="false">D5*F5</f>
        <v>0</v>
      </c>
    </row>
    <row r="6" customFormat="false" ht="31.5" hidden="false" customHeight="true" outlineLevel="0" collapsed="false">
      <c r="A6" s="7" t="s">
        <v>1043</v>
      </c>
      <c r="B6" s="31" t="s">
        <v>1044</v>
      </c>
      <c r="C6" s="25" t="n">
        <f aca="false">COUNTIF(Pareto_Items!$Q$6:$Q$473,A6)</f>
        <v>21</v>
      </c>
      <c r="D6" s="10" t="n">
        <f aca="false">SUMIF(Pareto_Items!$Q$6:$Q$473,A6,Pareto_Items!$I$6:$I$473)</f>
        <v>172.288871658747</v>
      </c>
      <c r="E6" s="14" t="n">
        <f aca="false">D6/Pareto_Items!$I$475</f>
        <v>0.148928105272175</v>
      </c>
      <c r="F6" s="4" t="s">
        <v>1045</v>
      </c>
      <c r="G6" s="10" t="n">
        <f aca="false">SUMPRODUCT((Pareto_Items!$Q$6:$Q$473="2 FIX")*Pareto_Items!$I$6:$I$473*(-Pareto_Items!$R$6:$R$473))</f>
        <v>15.3946254187319</v>
      </c>
    </row>
    <row r="7" customFormat="false" ht="31.5" hidden="false" customHeight="true" outlineLevel="0" collapsed="false">
      <c r="A7" s="7" t="s">
        <v>1046</v>
      </c>
      <c r="B7" s="31" t="s">
        <v>1047</v>
      </c>
      <c r="C7" s="25" t="n">
        <f aca="false">COUNTIF(Pareto_Items!$Q$6:$Q$473,A7)</f>
        <v>47</v>
      </c>
      <c r="D7" s="10" t="n">
        <f aca="false">SUMIF(Pareto_Items!$Q$6:$Q$473,A7,Pareto_Items!$I$6:$I$473)</f>
        <v>67.4141063564015</v>
      </c>
      <c r="E7" s="14" t="n">
        <f aca="false">D7/Pareto_Items!$I$475</f>
        <v>0.05827338139495</v>
      </c>
      <c r="F7" s="32" t="n">
        <v>0.15</v>
      </c>
      <c r="G7" s="10" t="n">
        <f aca="false">D7*F7</f>
        <v>10.1121159534602</v>
      </c>
    </row>
    <row r="8" customFormat="false" ht="31.5" hidden="false" customHeight="true" outlineLevel="0" collapsed="false">
      <c r="A8" s="7" t="s">
        <v>1048</v>
      </c>
      <c r="B8" s="31" t="s">
        <v>1049</v>
      </c>
      <c r="C8" s="25" t="n">
        <f aca="false">COUNTIF(Pareto_Items!$Q$6:$Q$473,A8)</f>
        <v>323</v>
      </c>
      <c r="D8" s="10" t="n">
        <f aca="false">SUMIF(Pareto_Items!$Q$6:$Q$473,A8,Pareto_Items!$I$6:$I$473)</f>
        <v>136.267816751212</v>
      </c>
      <c r="E8" s="14" t="n">
        <f aca="false">D8/Pareto_Items!$I$475</f>
        <v>0.117791169928435</v>
      </c>
      <c r="F8" s="32" t="n">
        <v>0</v>
      </c>
      <c r="G8" s="10" t="n">
        <f aca="false">D8*F8</f>
        <v>0</v>
      </c>
    </row>
    <row r="10" customFormat="false" ht="15" hidden="false" customHeight="false" outlineLevel="0" collapsed="false">
      <c r="A10" s="7" t="s">
        <v>1050</v>
      </c>
      <c r="G10" s="13" t="n">
        <f aca="false">SUM(G5:G8)</f>
        <v>25.5067413721921</v>
      </c>
    </row>
    <row r="11" customFormat="false" ht="15" hidden="false" customHeight="false" outlineLevel="0" collapsed="false">
      <c r="A11" s="7" t="s">
        <v>1051</v>
      </c>
      <c r="G11" s="11" t="n">
        <f aca="false">Model!K19</f>
        <v>5016.85625690429</v>
      </c>
    </row>
    <row r="12" customFormat="false" ht="15" hidden="false" customHeight="false" outlineLevel="0" collapsed="false">
      <c r="A12" s="7" t="s">
        <v>1052</v>
      </c>
      <c r="G12" s="11" t="n">
        <f aca="false">G11+G10</f>
        <v>5042.36299827648</v>
      </c>
    </row>
    <row r="13" customFormat="false" ht="15" hidden="false" customHeight="false" outlineLevel="0" collapsed="false">
      <c r="A13" s="7" t="s">
        <v>1053</v>
      </c>
      <c r="G13" s="11" t="n">
        <f aca="false">G12-Model!B3</f>
        <v>42.3629982764833</v>
      </c>
    </row>
    <row r="16" customFormat="false" ht="15" hidden="false" customHeight="false" outlineLevel="0" collapsed="false">
      <c r="A16" s="7" t="s">
        <v>1054</v>
      </c>
    </row>
    <row r="17" customFormat="false" ht="23.85" hidden="false" customHeight="false" outlineLevel="0" collapsed="false">
      <c r="A17" s="3" t="s">
        <v>211</v>
      </c>
      <c r="B17" s="3" t="s">
        <v>1055</v>
      </c>
      <c r="C17" s="3" t="s">
        <v>1056</v>
      </c>
      <c r="D17" s="3" t="s">
        <v>266</v>
      </c>
      <c r="E17" s="3" t="s">
        <v>1057</v>
      </c>
      <c r="F17" s="3" t="s">
        <v>1058</v>
      </c>
    </row>
    <row r="18" customFormat="false" ht="15" hidden="false" customHeight="false" outlineLevel="0" collapsed="false">
      <c r="A18" s="4" t="n">
        <v>1</v>
      </c>
      <c r="B18" s="4" t="s">
        <v>1059</v>
      </c>
      <c r="C18" s="4" t="s">
        <v>1060</v>
      </c>
      <c r="D18" s="33" t="n">
        <v>69.5064938436281</v>
      </c>
      <c r="E18" s="32" t="n">
        <v>0.0950263659807829</v>
      </c>
      <c r="F18" s="30" t="n">
        <v>3.62024410714286</v>
      </c>
    </row>
    <row r="19" customFormat="false" ht="15" hidden="false" customHeight="false" outlineLevel="0" collapsed="false">
      <c r="A19" s="4" t="n">
        <v>2</v>
      </c>
      <c r="B19" s="4" t="s">
        <v>1061</v>
      </c>
      <c r="C19" s="4" t="s">
        <v>1062</v>
      </c>
      <c r="D19" s="33" t="n">
        <v>42.7172653783155</v>
      </c>
      <c r="E19" s="32" t="n">
        <v>0.0452499336944223</v>
      </c>
      <c r="F19" s="30" t="n">
        <v>1.22520267857143</v>
      </c>
    </row>
    <row r="20" customFormat="false" ht="15" hidden="false" customHeight="false" outlineLevel="0" collapsed="false">
      <c r="A20" s="4" t="n">
        <v>3</v>
      </c>
      <c r="B20" s="4" t="s">
        <v>1063</v>
      </c>
      <c r="C20" s="4" t="s">
        <v>1060</v>
      </c>
      <c r="D20" s="33" t="n">
        <v>33.7114708529092</v>
      </c>
      <c r="E20" s="32" t="n">
        <v>0.123878882236896</v>
      </c>
      <c r="F20" s="30" t="n">
        <v>2.296070875</v>
      </c>
    </row>
    <row r="21" customFormat="false" ht="15" hidden="false" customHeight="false" outlineLevel="0" collapsed="false">
      <c r="A21" s="4" t="n">
        <v>4</v>
      </c>
      <c r="B21" s="4" t="s">
        <v>1064</v>
      </c>
      <c r="C21" s="4" t="s">
        <v>1065</v>
      </c>
      <c r="D21" s="33" t="n">
        <v>23.3123476203486</v>
      </c>
      <c r="E21" s="32" t="n">
        <v>-0.00981985037630295</v>
      </c>
      <c r="F21" s="30" t="n">
        <v>-0.105094714285713</v>
      </c>
    </row>
    <row r="22" customFormat="false" ht="15" hidden="false" customHeight="false" outlineLevel="0" collapsed="false">
      <c r="A22" s="4" t="n">
        <v>5</v>
      </c>
      <c r="B22" s="4" t="s">
        <v>1066</v>
      </c>
      <c r="C22" s="4" t="s">
        <v>1060</v>
      </c>
      <c r="D22" s="33" t="n">
        <v>22.8567252002486</v>
      </c>
      <c r="E22" s="32" t="n">
        <v>0.433652308302346</v>
      </c>
      <c r="F22" s="30" t="n">
        <v>3.19301485714286</v>
      </c>
    </row>
    <row r="23" customFormat="false" ht="15" hidden="false" customHeight="false" outlineLevel="0" collapsed="false">
      <c r="A23" s="4" t="n">
        <v>6</v>
      </c>
      <c r="B23" s="4" t="s">
        <v>1067</v>
      </c>
      <c r="C23" s="4" t="s">
        <v>1065</v>
      </c>
      <c r="D23" s="33" t="n">
        <v>22.7795711385518</v>
      </c>
      <c r="E23" s="32" t="n">
        <v>0.12508830430411</v>
      </c>
      <c r="F23" s="30" t="n">
        <v>1.09833165178572</v>
      </c>
    </row>
    <row r="24" customFormat="false" ht="15" hidden="false" customHeight="false" outlineLevel="0" collapsed="false">
      <c r="A24" s="4" t="n">
        <v>7</v>
      </c>
      <c r="B24" s="4" t="s">
        <v>1068</v>
      </c>
      <c r="C24" s="4" t="s">
        <v>1062</v>
      </c>
      <c r="D24" s="33" t="n">
        <v>22.2205628491627</v>
      </c>
      <c r="E24" s="32" t="n">
        <v>0.0625811547086568</v>
      </c>
      <c r="F24" s="30" t="n">
        <v>0.857113714285715</v>
      </c>
    </row>
    <row r="25" customFormat="false" ht="15" hidden="false" customHeight="false" outlineLevel="0" collapsed="false">
      <c r="A25" s="4" t="n">
        <v>8</v>
      </c>
      <c r="B25" s="4" t="s">
        <v>1069</v>
      </c>
      <c r="C25" s="4" t="s">
        <v>1065</v>
      </c>
      <c r="D25" s="33" t="n">
        <v>22.0709784499196</v>
      </c>
      <c r="E25" s="32" t="n">
        <v>-0.00200248711364859</v>
      </c>
      <c r="F25" s="30" t="n">
        <v>-0.0200322232142855</v>
      </c>
    </row>
    <row r="26" customFormat="false" ht="15" hidden="false" customHeight="false" outlineLevel="0" collapsed="false">
      <c r="A26" s="4" t="n">
        <v>9</v>
      </c>
      <c r="B26" s="4" t="s">
        <v>1070</v>
      </c>
      <c r="C26" s="4" t="s">
        <v>1071</v>
      </c>
      <c r="D26" s="33" t="n">
        <v>21.530115432962</v>
      </c>
      <c r="E26" s="32" t="n">
        <v>0.0746998473311367</v>
      </c>
      <c r="F26" s="30" t="n">
        <v>1.01700741964286</v>
      </c>
    </row>
    <row r="27" customFormat="false" ht="15" hidden="false" customHeight="false" outlineLevel="0" collapsed="false">
      <c r="A27" s="4" t="n">
        <v>10</v>
      </c>
      <c r="B27" s="4" t="s">
        <v>1072</v>
      </c>
      <c r="C27" s="4" t="s">
        <v>1073</v>
      </c>
      <c r="D27" s="33" t="n">
        <v>20.1085549294709</v>
      </c>
      <c r="E27" s="32" t="n">
        <v>0.0164540200445342</v>
      </c>
      <c r="F27" s="30" t="n">
        <v>0.261999607142855</v>
      </c>
    </row>
    <row r="28" customFormat="false" ht="15" hidden="false" customHeight="false" outlineLevel="0" collapsed="false">
      <c r="A28" s="4" t="n">
        <v>11</v>
      </c>
      <c r="B28" s="4" t="s">
        <v>1074</v>
      </c>
      <c r="C28" s="4" t="s">
        <v>1075</v>
      </c>
      <c r="D28" s="33" t="n">
        <v>19.2952041605376</v>
      </c>
      <c r="E28" s="32" t="n">
        <v>0.00547108457051193</v>
      </c>
      <c r="F28" s="30" t="n">
        <v>0.0752959821428582</v>
      </c>
    </row>
    <row r="29" customFormat="false" ht="15" hidden="false" customHeight="false" outlineLevel="0" collapsed="false">
      <c r="A29" s="4" t="n">
        <v>12</v>
      </c>
      <c r="B29" s="4" t="s">
        <v>1076</v>
      </c>
      <c r="C29" s="4" t="s">
        <v>1071</v>
      </c>
      <c r="D29" s="33" t="n">
        <v>15.0281795745652</v>
      </c>
      <c r="E29" s="32" t="n">
        <v>0.131456096226237</v>
      </c>
      <c r="F29" s="30" t="n">
        <v>1.19551291071429</v>
      </c>
    </row>
    <row r="30" customFormat="false" ht="15" hidden="false" customHeight="false" outlineLevel="0" collapsed="false">
      <c r="A30" s="4" t="n">
        <v>13</v>
      </c>
      <c r="B30" s="4" t="s">
        <v>1077</v>
      </c>
      <c r="C30" s="4" t="s">
        <v>1078</v>
      </c>
      <c r="D30" s="33" t="n">
        <v>14.0279098043648</v>
      </c>
      <c r="E30" s="32" t="n">
        <v>0.146187359374116</v>
      </c>
      <c r="F30" s="30" t="n">
        <v>1.23404211607143</v>
      </c>
    </row>
    <row r="31" customFormat="false" ht="15" hidden="false" customHeight="false" outlineLevel="0" collapsed="false">
      <c r="A31" s="4" t="n">
        <v>14</v>
      </c>
      <c r="B31" s="4" t="s">
        <v>1079</v>
      </c>
      <c r="C31" s="4" t="s">
        <v>1065</v>
      </c>
      <c r="D31" s="33" t="n">
        <v>13.1498573935593</v>
      </c>
      <c r="E31" s="32" t="n">
        <v>-0.006019742684095</v>
      </c>
      <c r="F31" s="30" t="n">
        <v>-0.0357489821428573</v>
      </c>
    </row>
    <row r="32" customFormat="false" ht="15" hidden="false" customHeight="false" outlineLevel="0" collapsed="false">
      <c r="A32" s="4" t="n">
        <v>15</v>
      </c>
      <c r="B32" s="4" t="s">
        <v>1080</v>
      </c>
      <c r="C32" s="4" t="s">
        <v>1075</v>
      </c>
      <c r="D32" s="33" t="n">
        <v>12.9612918008633</v>
      </c>
      <c r="E32" s="32" t="n">
        <v>-0.00785945791616471</v>
      </c>
      <c r="F32" s="30" t="n">
        <v>-0.0766846607142873</v>
      </c>
    </row>
    <row r="33" customFormat="false" ht="15" hidden="false" customHeight="false" outlineLevel="0" collapsed="false">
      <c r="A33" s="4" t="n">
        <v>16</v>
      </c>
      <c r="B33" s="4" t="s">
        <v>1081</v>
      </c>
      <c r="C33" s="4" t="s">
        <v>1082</v>
      </c>
      <c r="D33" s="33" t="n">
        <v>12.6445306274781</v>
      </c>
      <c r="E33" s="32" t="n">
        <v>0.0897529533992529</v>
      </c>
      <c r="F33" s="30" t="n">
        <v>0.588603955357143</v>
      </c>
    </row>
    <row r="34" customFormat="false" ht="15" hidden="false" customHeight="false" outlineLevel="0" collapsed="false">
      <c r="A34" s="4" t="n">
        <v>17</v>
      </c>
      <c r="B34" s="4" t="s">
        <v>1083</v>
      </c>
      <c r="C34" s="4" t="s">
        <v>1082</v>
      </c>
      <c r="D34" s="33" t="n">
        <v>12.1944531135184</v>
      </c>
      <c r="E34" s="32" t="n">
        <v>0.0142485773309884</v>
      </c>
      <c r="F34" s="30" t="n">
        <v>0.0993937499999991</v>
      </c>
    </row>
    <row r="35" customFormat="false" ht="15" hidden="false" customHeight="false" outlineLevel="0" collapsed="false">
      <c r="A35" s="4" t="n">
        <v>18</v>
      </c>
      <c r="B35" s="4" t="s">
        <v>1084</v>
      </c>
      <c r="C35" s="4" t="s">
        <v>1085</v>
      </c>
      <c r="D35" s="33" t="n">
        <v>12.1453643447025</v>
      </c>
      <c r="E35" s="32" t="n">
        <v>0.0486870736748635</v>
      </c>
      <c r="F35" s="30" t="n">
        <v>0.339464553571428</v>
      </c>
    </row>
    <row r="36" customFormat="false" ht="15" hidden="false" customHeight="false" outlineLevel="0" collapsed="false">
      <c r="A36" s="4" t="n">
        <v>19</v>
      </c>
      <c r="B36" s="4" t="s">
        <v>1086</v>
      </c>
      <c r="C36" s="4" t="s">
        <v>1065</v>
      </c>
      <c r="D36" s="33" t="n">
        <v>11.6921115498227</v>
      </c>
      <c r="E36" s="32" t="n">
        <v>0.080788707145752</v>
      </c>
      <c r="F36" s="30" t="n">
        <v>0.379801964285715</v>
      </c>
    </row>
    <row r="37" customFormat="false" ht="15" hidden="false" customHeight="false" outlineLevel="0" collapsed="false">
      <c r="A37" s="4" t="n">
        <v>20</v>
      </c>
      <c r="B37" s="4" t="s">
        <v>1087</v>
      </c>
      <c r="C37" s="4" t="s">
        <v>1088</v>
      </c>
      <c r="D37" s="33" t="n">
        <v>11.1275382331568</v>
      </c>
      <c r="E37" s="32" t="n">
        <v>-0.0105963288663419</v>
      </c>
      <c r="F37" s="30" t="n">
        <v>-0.0827082589285718</v>
      </c>
    </row>
    <row r="38" customFormat="false" ht="15" hidden="false" customHeight="false" outlineLevel="0" collapsed="false">
      <c r="A38" s="4" t="n">
        <v>21</v>
      </c>
      <c r="B38" s="4" t="s">
        <v>1089</v>
      </c>
      <c r="C38" s="4" t="s">
        <v>1090</v>
      </c>
      <c r="D38" s="33" t="n">
        <v>10.5014746595499</v>
      </c>
      <c r="E38" s="32" t="n">
        <v>0.0924467833945399</v>
      </c>
      <c r="F38" s="30" t="n">
        <v>0.564514160714285</v>
      </c>
    </row>
    <row r="39" customFormat="false" ht="15" hidden="false" customHeight="false" outlineLevel="0" collapsed="false">
      <c r="A39" s="4" t="n">
        <v>22</v>
      </c>
      <c r="B39" s="4" t="s">
        <v>1091</v>
      </c>
      <c r="C39" s="4" t="s">
        <v>1090</v>
      </c>
      <c r="D39" s="33" t="n">
        <v>10.1344486812808</v>
      </c>
      <c r="E39" s="32" t="n">
        <v>0.324311652802751</v>
      </c>
      <c r="F39" s="30" t="n">
        <v>1.54784700892857</v>
      </c>
    </row>
    <row r="40" customFormat="false" ht="15" hidden="false" customHeight="false" outlineLevel="0" collapsed="false">
      <c r="A40" s="4" t="n">
        <v>23</v>
      </c>
      <c r="B40" s="4" t="s">
        <v>1092</v>
      </c>
      <c r="C40" s="4" t="s">
        <v>1075</v>
      </c>
      <c r="D40" s="33" t="n">
        <v>10.0895637598828</v>
      </c>
      <c r="E40" s="32" t="n">
        <v>0.0892653515357373</v>
      </c>
      <c r="F40" s="30" t="n">
        <v>0.628434517857143</v>
      </c>
    </row>
    <row r="41" customFormat="false" ht="15" hidden="false" customHeight="false" outlineLevel="0" collapsed="false">
      <c r="A41" s="4" t="n">
        <v>24</v>
      </c>
      <c r="B41" s="4" t="s">
        <v>1093</v>
      </c>
      <c r="C41" s="4" t="s">
        <v>1071</v>
      </c>
      <c r="D41" s="33" t="n">
        <v>9.73904755675364</v>
      </c>
      <c r="E41" s="32" t="n">
        <v>0.262291251521344</v>
      </c>
      <c r="F41" s="30" t="n">
        <v>1.29361546428572</v>
      </c>
    </row>
    <row r="42" customFormat="false" ht="15" hidden="false" customHeight="false" outlineLevel="0" collapsed="false">
      <c r="A42" s="4" t="n">
        <v>25</v>
      </c>
      <c r="B42" s="4" t="s">
        <v>1094</v>
      </c>
      <c r="C42" s="4" t="s">
        <v>1088</v>
      </c>
      <c r="D42" s="33" t="n">
        <v>9.25311054756721</v>
      </c>
      <c r="E42" s="32" t="n">
        <v>0.0055525145965678</v>
      </c>
      <c r="F42" s="30" t="n">
        <v>0.0350569107142855</v>
      </c>
    </row>
    <row r="45" customFormat="false" ht="15" hidden="false" customHeight="false" outlineLevel="0" collapsed="false">
      <c r="A45" s="7" t="s">
        <v>1095</v>
      </c>
    </row>
    <row r="46" customFormat="false" ht="23.85" hidden="false" customHeight="false" outlineLevel="0" collapsed="false">
      <c r="A46" s="3" t="s">
        <v>211</v>
      </c>
      <c r="B46" s="3" t="s">
        <v>1055</v>
      </c>
      <c r="C46" s="3" t="s">
        <v>1056</v>
      </c>
      <c r="D46" s="3" t="s">
        <v>266</v>
      </c>
      <c r="E46" s="3" t="s">
        <v>1057</v>
      </c>
      <c r="F46" s="3" t="s">
        <v>1058</v>
      </c>
    </row>
    <row r="47" customFormat="false" ht="15" hidden="false" customHeight="false" outlineLevel="0" collapsed="false">
      <c r="A47" s="4" t="n">
        <v>1</v>
      </c>
      <c r="B47" s="4" t="s">
        <v>1096</v>
      </c>
      <c r="C47" s="4" t="s">
        <v>1060</v>
      </c>
      <c r="D47" s="33" t="n">
        <v>35.1746868345133</v>
      </c>
      <c r="E47" s="32" t="n">
        <v>-0.0527655563892187</v>
      </c>
      <c r="F47" s="30" t="n">
        <v>-1.21639596428571</v>
      </c>
    </row>
    <row r="48" customFormat="false" ht="15" hidden="false" customHeight="false" outlineLevel="0" collapsed="false">
      <c r="A48" s="4" t="n">
        <v>2</v>
      </c>
      <c r="B48" s="4" t="s">
        <v>1097</v>
      </c>
      <c r="C48" s="4" t="s">
        <v>1098</v>
      </c>
      <c r="D48" s="33" t="n">
        <v>27.9185752391224</v>
      </c>
      <c r="E48" s="32" t="n">
        <v>-0.0991688756350784</v>
      </c>
      <c r="F48" s="30" t="n">
        <v>-0.230882142857143</v>
      </c>
    </row>
    <row r="49" customFormat="false" ht="15" hidden="false" customHeight="false" outlineLevel="0" collapsed="false">
      <c r="A49" s="4" t="n">
        <v>3</v>
      </c>
      <c r="B49" s="4" t="s">
        <v>1099</v>
      </c>
      <c r="C49" s="4" t="s">
        <v>1082</v>
      </c>
      <c r="D49" s="33" t="n">
        <v>15.3364680999843</v>
      </c>
      <c r="E49" s="32" t="n">
        <v>-0.0793984910406776</v>
      </c>
      <c r="F49" s="30" t="n">
        <v>-0.789289482142858</v>
      </c>
    </row>
    <row r="50" customFormat="false" ht="15" hidden="false" customHeight="false" outlineLevel="0" collapsed="false">
      <c r="A50" s="4" t="n">
        <v>4</v>
      </c>
      <c r="B50" s="4" t="s">
        <v>1100</v>
      </c>
      <c r="C50" s="4" t="s">
        <v>1101</v>
      </c>
      <c r="D50" s="33" t="n">
        <v>12.6114132111699</v>
      </c>
      <c r="E50" s="32" t="n">
        <v>-0.142835786192607</v>
      </c>
      <c r="F50" s="30" t="n">
        <v>-0.347201785714286</v>
      </c>
    </row>
    <row r="51" customFormat="false" ht="15" hidden="false" customHeight="false" outlineLevel="0" collapsed="false">
      <c r="A51" s="4" t="n">
        <v>5</v>
      </c>
      <c r="B51" s="4" t="s">
        <v>1102</v>
      </c>
      <c r="C51" s="4" t="s">
        <v>1103</v>
      </c>
      <c r="D51" s="33" t="n">
        <v>7.36121582118644</v>
      </c>
      <c r="E51" s="32" t="n">
        <v>-0.0986943118733126</v>
      </c>
      <c r="F51" s="30" t="n">
        <v>-0.2669875</v>
      </c>
    </row>
    <row r="52" customFormat="false" ht="15" hidden="false" customHeight="false" outlineLevel="0" collapsed="false">
      <c r="A52" s="4" t="n">
        <v>6</v>
      </c>
      <c r="B52" s="4" t="s">
        <v>1104</v>
      </c>
      <c r="C52" s="4" t="s">
        <v>1082</v>
      </c>
      <c r="D52" s="33" t="n">
        <v>7.25457449749307</v>
      </c>
      <c r="E52" s="32" t="n">
        <v>-0.0651491475193642</v>
      </c>
      <c r="F52" s="30" t="n">
        <v>-0.287471241071428</v>
      </c>
    </row>
    <row r="53" customFormat="false" ht="15" hidden="false" customHeight="false" outlineLevel="0" collapsed="false">
      <c r="A53" s="4" t="n">
        <v>7</v>
      </c>
      <c r="B53" s="4" t="s">
        <v>1105</v>
      </c>
      <c r="C53" s="4" t="s">
        <v>1082</v>
      </c>
      <c r="D53" s="33" t="n">
        <v>6.61222558617908</v>
      </c>
      <c r="E53" s="32" t="n">
        <v>-0.101405304681648</v>
      </c>
      <c r="F53" s="30" t="n">
        <v>-0.477047946428572</v>
      </c>
    </row>
    <row r="54" customFormat="false" ht="15" hidden="false" customHeight="false" outlineLevel="0" collapsed="false">
      <c r="A54" s="4" t="n">
        <v>8</v>
      </c>
      <c r="B54" s="4" t="s">
        <v>1100</v>
      </c>
      <c r="C54" s="4" t="s">
        <v>1075</v>
      </c>
      <c r="D54" s="33" t="n">
        <v>5.9526630720805</v>
      </c>
      <c r="E54" s="32" t="n">
        <v>-0.0859478288886932</v>
      </c>
      <c r="F54" s="30" t="n">
        <v>-0.415696839285714</v>
      </c>
    </row>
    <row r="55" customFormat="false" ht="15" hidden="false" customHeight="false" outlineLevel="0" collapsed="false">
      <c r="A55" s="4" t="n">
        <v>9</v>
      </c>
      <c r="B55" s="4" t="s">
        <v>1106</v>
      </c>
      <c r="C55" s="4" t="s">
        <v>1107</v>
      </c>
      <c r="D55" s="33" t="n">
        <v>5.87488228105555</v>
      </c>
      <c r="E55" s="32" t="n">
        <v>-0.185179505855744</v>
      </c>
      <c r="F55" s="30" t="n">
        <v>-0.0172517857142857</v>
      </c>
    </row>
    <row r="56" customFormat="false" ht="15" hidden="false" customHeight="false" outlineLevel="0" collapsed="false">
      <c r="A56" s="4" t="n">
        <v>10</v>
      </c>
      <c r="B56" s="4" t="s">
        <v>1081</v>
      </c>
      <c r="C56" s="4" t="s">
        <v>1108</v>
      </c>
      <c r="D56" s="33" t="n">
        <v>5.38954653181782</v>
      </c>
      <c r="E56" s="32" t="n">
        <v>-0.074056004218774</v>
      </c>
      <c r="F56" s="30" t="n">
        <v>-0.301546178571428</v>
      </c>
    </row>
    <row r="57" customFormat="false" ht="15" hidden="false" customHeight="false" outlineLevel="0" collapsed="false">
      <c r="A57" s="4" t="n">
        <v>11</v>
      </c>
      <c r="B57" s="4" t="s">
        <v>1097</v>
      </c>
      <c r="C57" s="4" t="s">
        <v>1062</v>
      </c>
      <c r="D57" s="33" t="n">
        <v>5.33488178478018</v>
      </c>
      <c r="E57" s="32" t="n">
        <v>-0.0612732273811922</v>
      </c>
      <c r="F57" s="30" t="n">
        <v>-0.235134339285714</v>
      </c>
    </row>
    <row r="58" customFormat="false" ht="15" hidden="false" customHeight="false" outlineLevel="0" collapsed="false">
      <c r="A58" s="4" t="n">
        <v>12</v>
      </c>
      <c r="B58" s="4" t="s">
        <v>1109</v>
      </c>
      <c r="C58" s="4" t="s">
        <v>1060</v>
      </c>
      <c r="D58" s="33" t="n">
        <v>4.97139363579609</v>
      </c>
      <c r="E58" s="32" t="n">
        <v>-0.0658103721323563</v>
      </c>
      <c r="F58" s="30" t="n">
        <v>-0.204141071428571</v>
      </c>
    </row>
    <row r="59" customFormat="false" ht="15" hidden="false" customHeight="false" outlineLevel="0" collapsed="false">
      <c r="A59" s="4" t="n">
        <v>13</v>
      </c>
      <c r="B59" s="4" t="s">
        <v>1110</v>
      </c>
      <c r="C59" s="4" t="s">
        <v>1071</v>
      </c>
      <c r="D59" s="33" t="n">
        <v>4.25718491537823</v>
      </c>
      <c r="E59" s="32" t="n">
        <v>-0.128823545498524</v>
      </c>
      <c r="F59" s="30" t="n">
        <v>-0.433208508928571</v>
      </c>
    </row>
    <row r="60" customFormat="false" ht="15" hidden="false" customHeight="false" outlineLevel="0" collapsed="false">
      <c r="A60" s="4" t="n">
        <v>14</v>
      </c>
      <c r="B60" s="4" t="s">
        <v>1111</v>
      </c>
      <c r="C60" s="4" t="s">
        <v>1108</v>
      </c>
      <c r="D60" s="33" t="n">
        <v>4.24928445392649</v>
      </c>
      <c r="E60" s="32" t="n">
        <v>-0.0790554853097117</v>
      </c>
      <c r="F60" s="30" t="n">
        <v>-0.240450098214286</v>
      </c>
    </row>
    <row r="61" customFormat="false" ht="15" hidden="false" customHeight="false" outlineLevel="0" collapsed="false">
      <c r="A61" s="4" t="n">
        <v>15</v>
      </c>
      <c r="B61" s="4" t="s">
        <v>1112</v>
      </c>
      <c r="C61" s="4" t="s">
        <v>1078</v>
      </c>
      <c r="D61" s="33" t="n">
        <v>3.93593141077722</v>
      </c>
      <c r="E61" s="32" t="n">
        <v>-0.0681036628657069</v>
      </c>
      <c r="F61" s="30" t="n">
        <v>-0.211520776785715</v>
      </c>
    </row>
    <row r="64" customFormat="false" ht="15" hidden="false" customHeight="false" outlineLevel="0" collapsed="false">
      <c r="A64" s="7" t="s">
        <v>1113</v>
      </c>
    </row>
    <row r="65" customFormat="false" ht="23.85" hidden="false" customHeight="false" outlineLevel="0" collapsed="false">
      <c r="A65" s="3" t="s">
        <v>211</v>
      </c>
      <c r="B65" s="3" t="s">
        <v>1055</v>
      </c>
      <c r="C65" s="3" t="s">
        <v>1056</v>
      </c>
      <c r="D65" s="3" t="s">
        <v>266</v>
      </c>
      <c r="E65" s="3" t="s">
        <v>1057</v>
      </c>
      <c r="F65" s="3" t="s">
        <v>1058</v>
      </c>
    </row>
    <row r="66" customFormat="false" ht="15" hidden="false" customHeight="false" outlineLevel="0" collapsed="false">
      <c r="A66" s="4" t="n">
        <v>1</v>
      </c>
      <c r="B66" s="4" t="s">
        <v>1114</v>
      </c>
      <c r="C66" s="4" t="s">
        <v>1115</v>
      </c>
      <c r="D66" s="33" t="n">
        <v>2.54050837970039</v>
      </c>
      <c r="E66" s="32" t="n">
        <v>10.0645849912441</v>
      </c>
      <c r="F66" s="30" t="n">
        <v>1.67800894642857</v>
      </c>
    </row>
    <row r="67" customFormat="false" ht="15" hidden="false" customHeight="false" outlineLevel="0" collapsed="false">
      <c r="A67" s="4" t="n">
        <v>2</v>
      </c>
      <c r="B67" s="4" t="s">
        <v>1116</v>
      </c>
      <c r="C67" s="4" t="s">
        <v>1115</v>
      </c>
      <c r="D67" s="33" t="n">
        <v>2.38759933159779</v>
      </c>
      <c r="E67" s="32" t="n">
        <v>15.1086984300062</v>
      </c>
      <c r="F67" s="30" t="n">
        <v>1.58356696428571</v>
      </c>
    </row>
    <row r="68" customFormat="false" ht="15" hidden="false" customHeight="false" outlineLevel="0" collapsed="false">
      <c r="A68" s="4" t="n">
        <v>3</v>
      </c>
      <c r="B68" s="4" t="s">
        <v>1117</v>
      </c>
      <c r="C68" s="4" t="s">
        <v>1088</v>
      </c>
      <c r="D68" s="33" t="n">
        <v>2.22671058235479</v>
      </c>
      <c r="E68" s="32" t="n">
        <v>0.312851214458734</v>
      </c>
      <c r="F68" s="30" t="n">
        <v>0.369939857142857</v>
      </c>
    </row>
    <row r="69" customFormat="false" ht="15" hidden="false" customHeight="false" outlineLevel="0" collapsed="false">
      <c r="A69" s="4" t="n">
        <v>4</v>
      </c>
      <c r="B69" s="4" t="s">
        <v>1118</v>
      </c>
      <c r="C69" s="4" t="s">
        <v>1119</v>
      </c>
      <c r="D69" s="33" t="n">
        <v>1.83712463333052</v>
      </c>
      <c r="E69" s="32" t="s">
        <v>1120</v>
      </c>
      <c r="F69" s="30" t="n">
        <v>1.48397857142857</v>
      </c>
    </row>
    <row r="70" customFormat="false" ht="15" hidden="false" customHeight="false" outlineLevel="0" collapsed="false">
      <c r="A70" s="4" t="n">
        <v>5</v>
      </c>
      <c r="B70" s="4" t="s">
        <v>1121</v>
      </c>
      <c r="C70" s="4" t="s">
        <v>1122</v>
      </c>
      <c r="D70" s="33" t="n">
        <v>2.38165907574575</v>
      </c>
      <c r="E70" s="32" t="n">
        <v>0.469631103752579</v>
      </c>
      <c r="F70" s="30" t="n">
        <v>0.462704464285714</v>
      </c>
    </row>
    <row r="71" customFormat="false" ht="15" hidden="false" customHeight="false" outlineLevel="0" collapsed="false">
      <c r="A71" s="4" t="n">
        <v>6</v>
      </c>
      <c r="B71" s="4" t="s">
        <v>1123</v>
      </c>
      <c r="C71" s="4" t="s">
        <v>1122</v>
      </c>
      <c r="D71" s="33" t="n">
        <v>2.43297203407744</v>
      </c>
      <c r="E71" s="32" t="n">
        <v>0.460267389243453</v>
      </c>
      <c r="F71" s="30" t="n">
        <v>0.443459821428571</v>
      </c>
    </row>
    <row r="72" customFormat="false" ht="15" hidden="false" customHeight="false" outlineLevel="0" collapsed="false">
      <c r="A72" s="4" t="n">
        <v>7</v>
      </c>
      <c r="B72" s="4" t="s">
        <v>1124</v>
      </c>
      <c r="C72" s="4" t="s">
        <v>1115</v>
      </c>
      <c r="D72" s="33" t="n">
        <v>1.8629309470088</v>
      </c>
      <c r="E72" s="32" t="n">
        <v>10.3407540214477</v>
      </c>
      <c r="F72" s="30" t="n">
        <v>1.21223182142857</v>
      </c>
    </row>
    <row r="73" customFormat="false" ht="15" hidden="false" customHeight="false" outlineLevel="0" collapsed="false">
      <c r="A73" s="4" t="n">
        <v>8</v>
      </c>
      <c r="B73" s="4" t="s">
        <v>1125</v>
      </c>
      <c r="C73" s="4" t="s">
        <v>1126</v>
      </c>
      <c r="D73" s="33" t="n">
        <v>2.62315966179695</v>
      </c>
      <c r="E73" s="32" t="n">
        <v>1.27802781320514</v>
      </c>
      <c r="F73" s="30" t="n">
        <v>0.744396428571429</v>
      </c>
    </row>
    <row r="74" customFormat="false" ht="15" hidden="false" customHeight="false" outlineLevel="0" collapsed="false">
      <c r="A74" s="4" t="n">
        <v>9</v>
      </c>
      <c r="B74" s="4" t="s">
        <v>1127</v>
      </c>
      <c r="C74" s="4" t="s">
        <v>1128</v>
      </c>
      <c r="D74" s="33" t="n">
        <v>1.52608285409834</v>
      </c>
      <c r="E74" s="32" t="s">
        <v>1120</v>
      </c>
      <c r="F74" s="30" t="n">
        <v>1.2995515</v>
      </c>
    </row>
    <row r="75" customFormat="false" ht="15" hidden="false" customHeight="false" outlineLevel="0" collapsed="false">
      <c r="A75" s="4" t="n">
        <v>10</v>
      </c>
      <c r="B75" s="4" t="s">
        <v>1129</v>
      </c>
      <c r="C75" s="4" t="s">
        <v>1115</v>
      </c>
      <c r="D75" s="33" t="n">
        <v>1.63886387686866</v>
      </c>
      <c r="E75" s="32" t="n">
        <v>9.27352138566879</v>
      </c>
      <c r="F75" s="30" t="n">
        <v>1.16209642857143</v>
      </c>
    </row>
    <row r="76" customFormat="false" ht="15" hidden="false" customHeight="false" outlineLevel="0" collapsed="false">
      <c r="A76" s="4" t="n">
        <v>11</v>
      </c>
      <c r="B76" s="4" t="s">
        <v>1130</v>
      </c>
      <c r="C76" s="4" t="s">
        <v>1115</v>
      </c>
      <c r="D76" s="33" t="n">
        <v>1.71559112811634</v>
      </c>
      <c r="E76" s="32" t="n">
        <v>14.8259218340165</v>
      </c>
      <c r="F76" s="30" t="n">
        <v>1.16580724107143</v>
      </c>
    </row>
    <row r="77" customFormat="false" ht="15" hidden="false" customHeight="false" outlineLevel="0" collapsed="false">
      <c r="A77" s="4" t="n">
        <v>12</v>
      </c>
      <c r="B77" s="4" t="s">
        <v>1131</v>
      </c>
      <c r="C77" s="4" t="s">
        <v>1132</v>
      </c>
      <c r="D77" s="33" t="n">
        <v>2.08357547621651</v>
      </c>
      <c r="E77" s="32" t="s">
        <v>1120</v>
      </c>
      <c r="F77" s="30" t="n">
        <v>1.2348789375</v>
      </c>
    </row>
    <row r="78" customFormat="false" ht="15" hidden="false" customHeight="false" outlineLevel="0" collapsed="false">
      <c r="A78" s="4" t="n">
        <v>13</v>
      </c>
      <c r="B78" s="4" t="s">
        <v>1133</v>
      </c>
      <c r="C78" s="4" t="s">
        <v>1134</v>
      </c>
      <c r="D78" s="33" t="n">
        <v>2.4427516082639</v>
      </c>
      <c r="E78" s="32" t="s">
        <v>1120</v>
      </c>
      <c r="F78" s="30" t="n">
        <v>1.20665625</v>
      </c>
    </row>
    <row r="79" customFormat="false" ht="15" hidden="false" customHeight="false" outlineLevel="0" collapsed="false">
      <c r="A79" s="4" t="n">
        <v>14</v>
      </c>
      <c r="B79" s="4" t="s">
        <v>1135</v>
      </c>
      <c r="C79" s="4" t="s">
        <v>1134</v>
      </c>
      <c r="D79" s="33" t="n">
        <v>2.05992826602676</v>
      </c>
      <c r="E79" s="32" t="s">
        <v>1120</v>
      </c>
      <c r="F79" s="30" t="n">
        <v>1.19242857142857</v>
      </c>
    </row>
    <row r="80" customFormat="false" ht="15" hidden="false" customHeight="false" outlineLevel="0" collapsed="false">
      <c r="A80" s="4" t="n">
        <v>15</v>
      </c>
      <c r="B80" s="4" t="s">
        <v>1136</v>
      </c>
      <c r="C80" s="4" t="s">
        <v>1071</v>
      </c>
      <c r="D80" s="33" t="n">
        <v>1.7822437168233</v>
      </c>
      <c r="E80" s="32" t="n">
        <v>0.25421847283963</v>
      </c>
      <c r="F80" s="30" t="n">
        <v>0.222944071428571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22"/>
    <col collapsed="false" customWidth="true" hidden="false" outlineLevel="0" max="4" min="3" style="0" width="16"/>
    <col collapsed="false" customWidth="true" hidden="false" outlineLevel="0" max="5" min="5" style="0" width="95"/>
  </cols>
  <sheetData>
    <row r="1" customFormat="false" ht="15" hidden="false" customHeight="false" outlineLevel="0" collapsed="false">
      <c r="A1" s="1" t="s">
        <v>1137</v>
      </c>
    </row>
    <row r="3" customFormat="false" ht="15" hidden="false" customHeight="false" outlineLevel="0" collapsed="false">
      <c r="A3" s="7" t="s">
        <v>1138</v>
      </c>
    </row>
    <row r="4" customFormat="false" ht="15" hidden="false" customHeight="false" outlineLevel="0" collapsed="false">
      <c r="A4" s="3" t="s">
        <v>1139</v>
      </c>
      <c r="B4" s="3" t="s">
        <v>1140</v>
      </c>
      <c r="C4" s="3" t="s">
        <v>1141</v>
      </c>
      <c r="D4" s="3" t="s">
        <v>1142</v>
      </c>
    </row>
    <row r="5" customFormat="false" ht="15" hidden="false" customHeight="false" outlineLevel="0" collapsed="false">
      <c r="A5" s="32" t="n">
        <v>-0.05</v>
      </c>
      <c r="B5" s="10" t="n">
        <f aca="false">Model!$E$19+Model!$F$19*(1+A5)</f>
        <v>4923.56744599047</v>
      </c>
      <c r="C5" s="10" t="n">
        <f aca="false">B5-Model!$B$3</f>
        <v>-76.4325540095342</v>
      </c>
      <c r="D5" s="4" t="str">
        <f aca="false">IF(C5&gt;=0,"Yes","No")</f>
        <v>No</v>
      </c>
    </row>
    <row r="6" customFormat="false" ht="15" hidden="false" customHeight="false" outlineLevel="0" collapsed="false">
      <c r="A6" s="32" t="n">
        <v>-0.03</v>
      </c>
      <c r="B6" s="10" t="n">
        <f aca="false">Model!$E$19+Model!$F$19*(1+A6)</f>
        <v>4945.95839457469</v>
      </c>
      <c r="C6" s="10" t="n">
        <f aca="false">B6-Model!$B$3</f>
        <v>-54.0416054253146</v>
      </c>
      <c r="D6" s="4" t="str">
        <f aca="false">IF(C6&gt;=0,"Yes","No")</f>
        <v>No</v>
      </c>
    </row>
    <row r="7" customFormat="false" ht="15" hidden="false" customHeight="false" outlineLevel="0" collapsed="false">
      <c r="A7" s="32" t="n">
        <v>-0.01</v>
      </c>
      <c r="B7" s="10" t="n">
        <f aca="false">Model!$E$19+Model!$F$19*(1+A7)</f>
        <v>4968.34934315891</v>
      </c>
      <c r="C7" s="10" t="n">
        <f aca="false">B7-Model!$B$3</f>
        <v>-31.6506568410941</v>
      </c>
      <c r="D7" s="4" t="str">
        <f aca="false">IF(C7&gt;=0,"Yes","No")</f>
        <v>No</v>
      </c>
    </row>
    <row r="8" customFormat="false" ht="15" hidden="false" customHeight="false" outlineLevel="0" collapsed="false">
      <c r="A8" s="32" t="n">
        <v>0</v>
      </c>
      <c r="B8" s="10" t="n">
        <f aca="false">Model!$E$19+Model!$F$19*(1+A8)</f>
        <v>4979.54481745102</v>
      </c>
      <c r="C8" s="10" t="n">
        <f aca="false">B8-Model!$B$3</f>
        <v>-20.4551825489834</v>
      </c>
      <c r="D8" s="4" t="str">
        <f aca="false">IF(C8&gt;=0,"Yes","No")</f>
        <v>No</v>
      </c>
    </row>
    <row r="9" customFormat="false" ht="15" hidden="false" customHeight="false" outlineLevel="0" collapsed="false">
      <c r="A9" s="32" t="n">
        <v>0.018</v>
      </c>
      <c r="B9" s="10" t="n">
        <f aca="false">Model!$E$19+Model!$F$19*(1+A9)</f>
        <v>4999.69667117682</v>
      </c>
      <c r="C9" s="10" t="n">
        <f aca="false">B9-Model!$B$3</f>
        <v>-0.303328823185439</v>
      </c>
      <c r="D9" s="4" t="str">
        <f aca="false">IF(C9&gt;=0,"Yes","No")</f>
        <v>No</v>
      </c>
    </row>
    <row r="10" customFormat="false" ht="15" hidden="false" customHeight="false" outlineLevel="0" collapsed="false">
      <c r="A10" s="32" t="n">
        <v>0.033</v>
      </c>
      <c r="B10" s="10" t="n">
        <f aca="false">Model!$E$19+Model!$F$19*(1+A10)</f>
        <v>5016.48988261498</v>
      </c>
      <c r="C10" s="10" t="n">
        <f aca="false">B10-Model!$B$3</f>
        <v>16.4898826149802</v>
      </c>
      <c r="D10" s="4" t="str">
        <f aca="false">IF(C10&gt;=0,"Yes","No")</f>
        <v>Yes</v>
      </c>
    </row>
    <row r="11" customFormat="false" ht="15" hidden="false" customHeight="false" outlineLevel="0" collapsed="false">
      <c r="A11" s="32" t="n">
        <v>0.05</v>
      </c>
      <c r="B11" s="10" t="n">
        <f aca="false">Model!$E$19+Model!$F$19*(1+A11)</f>
        <v>5035.52218891157</v>
      </c>
      <c r="C11" s="10" t="n">
        <f aca="false">B11-Model!$B$3</f>
        <v>35.5221889115674</v>
      </c>
      <c r="D11" s="4" t="str">
        <f aca="false">IF(C11&gt;=0,"Yes","No")</f>
        <v>Yes</v>
      </c>
    </row>
    <row r="12" customFormat="false" ht="15" hidden="false" customHeight="false" outlineLevel="0" collapsed="false">
      <c r="A12" s="32" t="n">
        <v>0.07</v>
      </c>
      <c r="B12" s="10" t="n">
        <f aca="false">Model!$E$19+Model!$F$19*(1+A12)</f>
        <v>5057.91313749579</v>
      </c>
      <c r="C12" s="10" t="n">
        <f aca="false">B12-Model!$B$3</f>
        <v>57.9131374957879</v>
      </c>
      <c r="D12" s="4" t="str">
        <f aca="false">IF(C12&gt;=0,"Yes","No")</f>
        <v>Yes</v>
      </c>
    </row>
    <row r="14" customFormat="false" ht="15" hidden="false" customHeight="false" outlineLevel="0" collapsed="false">
      <c r="A14" s="7" t="s">
        <v>1143</v>
      </c>
      <c r="B14" s="20" t="n">
        <f aca="false">Model!B28</f>
        <v>0.0182709387876485</v>
      </c>
    </row>
    <row r="15" customFormat="false" ht="15" hidden="false" customHeight="false" outlineLevel="0" collapsed="false">
      <c r="A15" s="7" t="s">
        <v>10</v>
      </c>
      <c r="B15" s="20" t="n">
        <f aca="false">Model!B29</f>
        <v>0.0333272521375616</v>
      </c>
    </row>
    <row r="17" customFormat="false" ht="15" hidden="false" customHeight="false" outlineLevel="0" collapsed="false">
      <c r="A17" s="7" t="s">
        <v>1144</v>
      </c>
    </row>
    <row r="18" customFormat="false" ht="15" hidden="false" customHeight="false" outlineLevel="0" collapsed="false">
      <c r="A18" s="4" t="s">
        <v>1145</v>
      </c>
      <c r="B18" s="5" t="n">
        <f aca="false">Monthly_Data!N13</f>
        <v>573.964288356179</v>
      </c>
    </row>
    <row r="19" customFormat="false" ht="15" hidden="false" customHeight="false" outlineLevel="0" collapsed="false">
      <c r="A19" s="4" t="s">
        <v>1146</v>
      </c>
      <c r="B19" s="10" t="n">
        <f aca="false">B18*Model!J19/Model!F19</f>
        <v>593.092940912182</v>
      </c>
    </row>
    <row r="20" customFormat="false" ht="15" hidden="false" customHeight="false" outlineLevel="0" collapsed="false">
      <c r="A20" s="4" t="s">
        <v>1147</v>
      </c>
      <c r="B20" s="14" t="n">
        <f aca="false">B19/Model!J19</f>
        <v>0.512675276973903</v>
      </c>
    </row>
    <row r="21" customFormat="false" ht="15" hidden="false" customHeight="false" outlineLevel="0" collapsed="false">
      <c r="A21" s="4" t="s">
        <v>1148</v>
      </c>
      <c r="B21" s="14" t="n">
        <f aca="false">Model!B24/B19</f>
        <v>0.0284209366551665</v>
      </c>
    </row>
    <row r="22" customFormat="false" ht="15" hidden="false" customHeight="false" outlineLevel="0" collapsed="false">
      <c r="A22" s="4" t="s">
        <v>1149</v>
      </c>
      <c r="B22" s="10" t="n">
        <f aca="false">B19*0.01</f>
        <v>5.93092940912182</v>
      </c>
    </row>
    <row r="24" customFormat="false" ht="15" hidden="false" customHeight="false" outlineLevel="0" collapsed="false">
      <c r="A24" s="7" t="s">
        <v>1150</v>
      </c>
    </row>
    <row r="25" customFormat="false" ht="30" hidden="false" customHeight="true" outlineLevel="0" collapsed="false">
      <c r="A25" s="3" t="s">
        <v>1151</v>
      </c>
      <c r="B25" s="3" t="s">
        <v>1152</v>
      </c>
      <c r="C25" s="3" t="s">
        <v>1039</v>
      </c>
      <c r="D25" s="3" t="s">
        <v>1040</v>
      </c>
      <c r="E25" s="3" t="s">
        <v>1153</v>
      </c>
    </row>
    <row r="26" customFormat="false" ht="43.5" hidden="false" customHeight="true" outlineLevel="0" collapsed="false">
      <c r="A26" s="4" t="s">
        <v>1154</v>
      </c>
      <c r="B26" s="10" t="n">
        <f aca="false">Model!J11</f>
        <v>916.635172703307</v>
      </c>
      <c r="C26" s="32" t="n">
        <v>0.01</v>
      </c>
      <c r="D26" s="10" t="n">
        <f aca="false">B26*C26</f>
        <v>9.16635172703307</v>
      </c>
      <c r="E26" s="31" t="s">
        <v>1155</v>
      </c>
    </row>
    <row r="27" customFormat="false" ht="43.5" hidden="false" customHeight="true" outlineLevel="0" collapsed="false">
      <c r="A27" s="4" t="s">
        <v>1156</v>
      </c>
      <c r="B27" s="10" t="n">
        <f aca="false">(84.2594+10.5804)*Model!$J$11/Model!$F$11</f>
        <v>96.8311551453625</v>
      </c>
      <c r="C27" s="32" t="n">
        <v>0.03</v>
      </c>
      <c r="D27" s="10" t="n">
        <f aca="false">B27*C27</f>
        <v>2.90493465436087</v>
      </c>
      <c r="E27" s="31" t="s">
        <v>1157</v>
      </c>
    </row>
    <row r="28" customFormat="false" ht="43.5" hidden="false" customHeight="true" outlineLevel="0" collapsed="false">
      <c r="A28" s="4" t="s">
        <v>1158</v>
      </c>
      <c r="B28" s="10" t="n">
        <f aca="false">Monthly_Data!N9*Model!$J$15/Model!$F$15</f>
        <v>74.9126125613914</v>
      </c>
      <c r="C28" s="32" t="n">
        <v>0.05</v>
      </c>
      <c r="D28" s="10" t="n">
        <f aca="false">B28*C28</f>
        <v>3.74563062806957</v>
      </c>
      <c r="E28" s="31" t="s">
        <v>1159</v>
      </c>
    </row>
    <row r="29" customFormat="false" ht="43.5" hidden="false" customHeight="true" outlineLevel="0" collapsed="false">
      <c r="A29" s="4" t="s">
        <v>1160</v>
      </c>
      <c r="B29" s="10" t="n">
        <f aca="false">99.0373*Model!$J$11/Model!$F$11</f>
        <v>101.116790223912</v>
      </c>
      <c r="C29" s="32" t="n">
        <v>0.07</v>
      </c>
      <c r="D29" s="10" t="n">
        <f aca="false">B29*C29</f>
        <v>7.07817531567387</v>
      </c>
      <c r="E29" s="31" t="s">
        <v>1161</v>
      </c>
    </row>
    <row r="30" customFormat="false" ht="43.5" hidden="false" customHeight="true" outlineLevel="0" collapsed="false">
      <c r="A30" s="4" t="s">
        <v>1162</v>
      </c>
      <c r="B30" s="10" t="n">
        <f aca="false">(Monthly_Data!W7-AVERAGE(Monthly_Data!U7:W7))*Model!I13</f>
        <v>4.18410914728486</v>
      </c>
      <c r="C30" s="34" t="n">
        <v>1</v>
      </c>
      <c r="D30" s="10" t="n">
        <f aca="false">B30*C30</f>
        <v>4.18410914728486</v>
      </c>
      <c r="E30" s="31" t="s">
        <v>1163</v>
      </c>
    </row>
    <row r="31" customFormat="false" ht="43.5" hidden="false" customHeight="true" outlineLevel="0" collapsed="false">
      <c r="A31" s="4" t="s">
        <v>1164</v>
      </c>
      <c r="B31" s="10" t="n">
        <f aca="false">17.4492</f>
        <v>17.4492</v>
      </c>
      <c r="C31" s="32" t="n">
        <v>0.126</v>
      </c>
      <c r="D31" s="10" t="n">
        <f aca="false">B31*C31</f>
        <v>2.1985992</v>
      </c>
      <c r="E31" s="31" t="s">
        <v>1165</v>
      </c>
    </row>
    <row r="32" customFormat="false" ht="15" hidden="false" customHeight="false" outlineLevel="0" collapsed="false">
      <c r="A32" s="7" t="s">
        <v>1166</v>
      </c>
      <c r="D32" s="13" t="n">
        <f aca="false">SUM(D26:D31)</f>
        <v>29.2778006724223</v>
      </c>
    </row>
    <row r="33" customFormat="false" ht="15" hidden="false" customHeight="false" outlineLevel="0" collapsed="false">
      <c r="A33" s="7" t="s">
        <v>1167</v>
      </c>
      <c r="D33" s="11" t="n">
        <f aca="false">Model!K19</f>
        <v>5016.85625690429</v>
      </c>
    </row>
    <row r="34" customFormat="false" ht="15" hidden="false" customHeight="false" outlineLevel="0" collapsed="false">
      <c r="A34" s="7" t="s">
        <v>1168</v>
      </c>
      <c r="D34" s="11" t="n">
        <f aca="false">D33+D32</f>
        <v>5046.13405757671</v>
      </c>
    </row>
    <row r="35" customFormat="false" ht="15" hidden="false" customHeight="false" outlineLevel="0" collapsed="false">
      <c r="A35" s="7" t="s">
        <v>1169</v>
      </c>
      <c r="D35" s="11" t="n">
        <f aca="false">D34-Model!B3</f>
        <v>46.1340575767135</v>
      </c>
    </row>
    <row r="36" customFormat="false" ht="15" hidden="false" customHeight="false" outlineLevel="0" collapsed="false">
      <c r="A36" s="7" t="s">
        <v>1170</v>
      </c>
      <c r="D36" s="20" t="n">
        <f aca="false">D35/Model!B3</f>
        <v>0.00922681151534271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6"/>
    <col collapsed="false" customWidth="true" hidden="false" outlineLevel="0" max="4" min="4" style="0" width="20"/>
    <col collapsed="false" customWidth="true" hidden="false" outlineLevel="0" max="5" min="5" style="0" width="12"/>
    <col collapsed="false" customWidth="true" hidden="false" outlineLevel="0" max="6" min="6" style="0" width="14"/>
    <col collapsed="false" customWidth="true" hidden="false" outlineLevel="0" max="7" min="7" style="0" width="80"/>
  </cols>
  <sheetData>
    <row r="1" customFormat="false" ht="15" hidden="false" customHeight="false" outlineLevel="0" collapsed="false">
      <c r="A1" s="1" t="s">
        <v>1171</v>
      </c>
    </row>
    <row r="3" customFormat="false" ht="23.85" hidden="false" customHeight="false" outlineLevel="0" collapsed="false">
      <c r="A3" s="3" t="s">
        <v>1172</v>
      </c>
      <c r="B3" s="3" t="s">
        <v>1173</v>
      </c>
      <c r="C3" s="3" t="s">
        <v>1174</v>
      </c>
      <c r="D3" s="3" t="s">
        <v>1175</v>
      </c>
      <c r="E3" s="3" t="s">
        <v>1176</v>
      </c>
      <c r="F3" s="3" t="s">
        <v>1177</v>
      </c>
      <c r="G3" s="3" t="s">
        <v>1178</v>
      </c>
    </row>
    <row r="4" customFormat="false" ht="15" hidden="false" customHeight="false" outlineLevel="0" collapsed="false">
      <c r="A4" s="4" t="s">
        <v>1179</v>
      </c>
      <c r="B4" s="16" t="n">
        <v>1881865</v>
      </c>
      <c r="C4" s="12" t="n">
        <v>2329.81570679</v>
      </c>
      <c r="D4" s="12" t="n">
        <v>2212.51546108404</v>
      </c>
      <c r="E4" s="14" t="n">
        <f aca="false">D4/C4</f>
        <v>0.94965256463672</v>
      </c>
      <c r="F4" s="24" t="n">
        <f aca="false">C4/D4</f>
        <v>1.05301668972225</v>
      </c>
      <c r="G4" s="4" t="s">
        <v>1180</v>
      </c>
    </row>
    <row r="5" customFormat="false" ht="15" hidden="false" customHeight="false" outlineLevel="0" collapsed="false">
      <c r="A5" s="4" t="s">
        <v>1181</v>
      </c>
      <c r="B5" s="16" t="n">
        <v>1989918</v>
      </c>
      <c r="C5" s="12" t="n">
        <v>2500.71454706</v>
      </c>
      <c r="D5" s="12" t="n">
        <v>2378.3593423021</v>
      </c>
      <c r="E5" s="14" t="n">
        <f aca="false">D5/C5</f>
        <v>0.951071902668079</v>
      </c>
      <c r="F5" s="24" t="n">
        <f aca="false">C5/D5</f>
        <v>1.05144521375793</v>
      </c>
      <c r="G5" s="4" t="s">
        <v>1180</v>
      </c>
    </row>
    <row r="6" customFormat="false" ht="15" hidden="false" customHeight="false" outlineLevel="0" collapsed="false">
      <c r="A6" s="4" t="s">
        <v>1182</v>
      </c>
      <c r="B6" s="16" t="n">
        <v>1931837</v>
      </c>
      <c r="C6" s="12" t="n">
        <v>2424.98143614</v>
      </c>
      <c r="D6" s="12" t="n">
        <v>2297.75589743035</v>
      </c>
      <c r="E6" s="14" t="n">
        <f aca="false">D6/C6</f>
        <v>0.947535458699359</v>
      </c>
      <c r="F6" s="24" t="n">
        <f aca="false">C6/D6</f>
        <v>1.0553694754312</v>
      </c>
      <c r="G6" s="4" t="s">
        <v>1183</v>
      </c>
    </row>
    <row r="7" customFormat="false" ht="15" hidden="false" customHeight="false" outlineLevel="0" collapsed="false">
      <c r="A7" s="4" t="s">
        <v>1184</v>
      </c>
      <c r="B7" s="16" t="n">
        <v>1130406</v>
      </c>
      <c r="C7" s="12" t="n">
        <v>1435.0159521</v>
      </c>
      <c r="D7" s="12" t="n">
        <v>1363.20091356203</v>
      </c>
      <c r="E7" s="14" t="n">
        <f aca="false">D7/C7</f>
        <v>0.949955233296969</v>
      </c>
      <c r="F7" s="24" t="n">
        <f aca="false">C7/D7</f>
        <v>1.05268118427996</v>
      </c>
      <c r="G7" s="4" t="s">
        <v>1180</v>
      </c>
    </row>
    <row r="9" customFormat="false" ht="15" hidden="false" customHeight="true" outlineLevel="0" collapsed="false">
      <c r="A9" s="8" t="s">
        <v>1185</v>
      </c>
      <c r="B9" s="8"/>
      <c r="C9" s="8"/>
      <c r="D9" s="8"/>
      <c r="E9" s="8"/>
      <c r="F9" s="8"/>
      <c r="G9" s="8"/>
    </row>
    <row r="10" customFormat="false" ht="45.75" hidden="false" customHeight="true" outlineLevel="0" collapsed="false">
      <c r="A10" s="9" t="s">
        <v>1186</v>
      </c>
      <c r="B10" s="9"/>
      <c r="C10" s="9"/>
      <c r="D10" s="9"/>
      <c r="E10" s="9"/>
      <c r="F10" s="9"/>
      <c r="G10" s="9"/>
    </row>
    <row r="11" customFormat="false" ht="45.75" hidden="false" customHeight="true" outlineLevel="0" collapsed="false">
      <c r="A11" s="9" t="s">
        <v>1187</v>
      </c>
      <c r="B11" s="9"/>
      <c r="C11" s="9"/>
      <c r="D11" s="9"/>
      <c r="E11" s="9"/>
      <c r="F11" s="9"/>
      <c r="G11" s="9"/>
    </row>
    <row r="12" customFormat="false" ht="45.75" hidden="false" customHeight="true" outlineLevel="0" collapsed="false">
      <c r="A12" s="9" t="s">
        <v>1188</v>
      </c>
      <c r="B12" s="9"/>
      <c r="C12" s="9"/>
      <c r="D12" s="9"/>
      <c r="E12" s="9"/>
      <c r="F12" s="9"/>
      <c r="G12" s="9"/>
    </row>
    <row r="13" customFormat="false" ht="45.75" hidden="false" customHeight="true" outlineLevel="0" collapsed="false">
      <c r="A13" s="9" t="s">
        <v>1189</v>
      </c>
      <c r="B13" s="9"/>
      <c r="C13" s="9"/>
      <c r="D13" s="9"/>
      <c r="E13" s="9"/>
      <c r="F13" s="9"/>
      <c r="G13" s="9"/>
    </row>
    <row r="14" customFormat="false" ht="45.75" hidden="false" customHeight="true" outlineLevel="0" collapsed="false">
      <c r="A14" s="9" t="s">
        <v>1190</v>
      </c>
      <c r="B14" s="9"/>
      <c r="C14" s="9"/>
      <c r="D14" s="9"/>
      <c r="E14" s="9"/>
      <c r="F14" s="9"/>
      <c r="G14" s="9"/>
    </row>
    <row r="15" customFormat="false" ht="45.75" hidden="false" customHeight="true" outlineLevel="0" collapsed="false">
      <c r="A15" s="9" t="s">
        <v>1191</v>
      </c>
      <c r="B15" s="9"/>
      <c r="C15" s="9"/>
      <c r="D15" s="9"/>
      <c r="E15" s="9"/>
      <c r="F15" s="9"/>
      <c r="G15" s="9"/>
    </row>
    <row r="16" customFormat="false" ht="45.75" hidden="false" customHeight="true" outlineLevel="0" collapsed="false">
      <c r="A16" s="9" t="s">
        <v>1192</v>
      </c>
      <c r="B16" s="9"/>
      <c r="C16" s="9"/>
      <c r="D16" s="9"/>
      <c r="E16" s="9"/>
      <c r="F16" s="9"/>
      <c r="G16" s="9"/>
    </row>
    <row r="17" customFormat="false" ht="45.75" hidden="false" customHeight="true" outlineLevel="0" collapsed="false">
      <c r="A17" s="9" t="s">
        <v>1193</v>
      </c>
      <c r="B17" s="9"/>
      <c r="C17" s="9"/>
      <c r="D17" s="9"/>
      <c r="E17" s="9"/>
      <c r="F17" s="9"/>
      <c r="G17" s="9"/>
    </row>
    <row r="18" customFormat="false" ht="45.75" hidden="false" customHeight="true" outlineLevel="0" collapsed="false">
      <c r="A18" s="9" t="s">
        <v>1194</v>
      </c>
      <c r="B18" s="9"/>
      <c r="C18" s="9"/>
      <c r="D18" s="9"/>
      <c r="E18" s="9"/>
      <c r="F18" s="9"/>
      <c r="G18" s="9"/>
    </row>
    <row r="19" customFormat="false" ht="45.75" hidden="false" customHeight="true" outlineLevel="0" collapsed="false">
      <c r="A19" s="9" t="s">
        <v>1195</v>
      </c>
      <c r="B19" s="9"/>
      <c r="C19" s="9"/>
      <c r="D19" s="9"/>
      <c r="E19" s="9"/>
      <c r="F19" s="9"/>
      <c r="G19" s="9"/>
    </row>
  </sheetData>
  <mergeCells count="11">
    <mergeCell ref="A9:G9"/>
    <mergeCell ref="A10:G10"/>
    <mergeCell ref="A11:G11"/>
    <mergeCell ref="A12:G12"/>
    <mergeCell ref="A13:G13"/>
    <mergeCell ref="A14:G14"/>
    <mergeCell ref="A15:G15"/>
    <mergeCell ref="A16:G16"/>
    <mergeCell ref="A17:G17"/>
    <mergeCell ref="A18:G18"/>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2026-10-20T10:41:00Z</dcterms:created>
  <dc:creator>openpyxl</dc:creator>
  <dc:description/>
  <dc:language>en-US</dc:language>
  <cp:lastModifiedBy/>
  <dcterms:modified xsi:type="dcterms:W3CDTF">2026-10-20T10:41:15Z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